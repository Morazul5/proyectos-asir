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ASIR\PAR\PARP301-SCE\Presupuesto\"/>
    </mc:Choice>
  </mc:AlternateContent>
  <xr:revisionPtr revIDLastSave="0" documentId="13_ncr:1_{F0E9FCF5-2710-4FCB-8539-7585D4C3D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atista" sheetId="1" r:id="rId1"/>
    <sheet name="Client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17" i="1"/>
  <c r="R18" i="1" s="1"/>
  <c r="R15" i="1"/>
  <c r="R14" i="1"/>
  <c r="R11" i="3"/>
  <c r="R11" i="1"/>
  <c r="J53" i="1" l="1"/>
  <c r="J52" i="1"/>
  <c r="J56" i="3"/>
  <c r="J55" i="3"/>
  <c r="J57" i="3" s="1"/>
  <c r="R9" i="3" s="1"/>
  <c r="J54" i="3"/>
  <c r="J51" i="3"/>
  <c r="J50" i="3"/>
  <c r="J48" i="3"/>
  <c r="J42" i="3"/>
  <c r="J41" i="3"/>
  <c r="J43" i="3" s="1"/>
  <c r="R7" i="3" s="1"/>
  <c r="J40" i="3"/>
  <c r="J39" i="3"/>
  <c r="J38" i="3"/>
  <c r="J37" i="3"/>
  <c r="J36" i="3"/>
  <c r="J35" i="3"/>
  <c r="J34" i="3"/>
  <c r="J33" i="3"/>
  <c r="J32" i="3"/>
  <c r="J29" i="3"/>
  <c r="J28" i="3"/>
  <c r="J27" i="3"/>
  <c r="J26" i="3"/>
  <c r="J30" i="3" s="1"/>
  <c r="R6" i="3" s="1"/>
  <c r="J24" i="3"/>
  <c r="R5" i="3" s="1"/>
  <c r="J23" i="3"/>
  <c r="J22" i="3"/>
  <c r="J21" i="3"/>
  <c r="J20" i="3"/>
  <c r="J19" i="3"/>
  <c r="J18" i="3"/>
  <c r="J17" i="3"/>
  <c r="J15" i="3"/>
  <c r="J14" i="3"/>
  <c r="J13" i="3"/>
  <c r="J12" i="3"/>
  <c r="J11" i="3"/>
  <c r="J10" i="3"/>
  <c r="J9" i="3"/>
  <c r="J8" i="3"/>
  <c r="J46" i="1"/>
  <c r="J49" i="1"/>
  <c r="J48" i="1"/>
  <c r="J42" i="1"/>
  <c r="J52" i="3" l="1"/>
  <c r="R8" i="3" s="1"/>
  <c r="R10" i="3"/>
  <c r="J50" i="1"/>
  <c r="R8" i="1" s="1"/>
  <c r="J11" i="1" l="1"/>
  <c r="J35" i="1" l="1"/>
  <c r="J23" i="1"/>
  <c r="J39" i="1" l="1"/>
  <c r="J41" i="1"/>
  <c r="J40" i="1"/>
  <c r="J38" i="1"/>
  <c r="J37" i="1"/>
  <c r="J36" i="1"/>
  <c r="J34" i="1"/>
  <c r="J33" i="1"/>
  <c r="J32" i="1"/>
  <c r="J29" i="1"/>
  <c r="J28" i="1"/>
  <c r="J27" i="1"/>
  <c r="J26" i="1"/>
  <c r="J22" i="1"/>
  <c r="J21" i="1"/>
  <c r="J20" i="1"/>
  <c r="J19" i="1"/>
  <c r="J18" i="1"/>
  <c r="J17" i="1"/>
  <c r="J15" i="1"/>
  <c r="J14" i="1"/>
  <c r="J13" i="1"/>
  <c r="J12" i="1"/>
  <c r="J10" i="1"/>
  <c r="J9" i="1"/>
  <c r="J8" i="1"/>
  <c r="J43" i="1" l="1"/>
  <c r="J24" i="1"/>
  <c r="R5" i="1" s="1"/>
  <c r="J30" i="1"/>
  <c r="R6" i="1" s="1"/>
  <c r="J55" i="1"/>
  <c r="R9" i="1" s="1"/>
  <c r="R7" i="1" l="1"/>
  <c r="R10" i="1" s="1"/>
</calcChain>
</file>

<file path=xl/sharedStrings.xml><?xml version="1.0" encoding="utf-8"?>
<sst xmlns="http://schemas.openxmlformats.org/spreadsheetml/2006/main" count="204" uniqueCount="67">
  <si>
    <t>Cómputo</t>
  </si>
  <si>
    <t>Presupuesto</t>
  </si>
  <si>
    <t>Subtotal</t>
  </si>
  <si>
    <t>mts</t>
  </si>
  <si>
    <t>Materiales</t>
  </si>
  <si>
    <t>Unidades</t>
  </si>
  <si>
    <t>Cantidad</t>
  </si>
  <si>
    <t>Precio Unitario</t>
  </si>
  <si>
    <t>ud</t>
  </si>
  <si>
    <t>Rejiband 60x100 mm de 3 mts</t>
  </si>
  <si>
    <t>Canaleta 6x9 mm de 2 mts</t>
  </si>
  <si>
    <t>Caja de pared con 4 elementos dobles y enchufes</t>
  </si>
  <si>
    <t>Baldosas 60x60 de suelo técnico</t>
  </si>
  <si>
    <t>Bolsa de 50 unidades de uniones para Rejiband</t>
  </si>
  <si>
    <t>Soportes para Rejiband</t>
  </si>
  <si>
    <t>Soportes para baldosas de 60mm</t>
  </si>
  <si>
    <t>Bobina de Cable F/UTP Cat 6 (305 mts)</t>
  </si>
  <si>
    <t>Roseta simple de CAT6 FTP</t>
  </si>
  <si>
    <t>Roseta doble de CAT6 FTP</t>
  </si>
  <si>
    <t>Roseta de 4 puertos de CAT6 FTP</t>
  </si>
  <si>
    <t>Conectores RJ-45 (Pack de 100)</t>
  </si>
  <si>
    <t>Bridas (Pack de 100)</t>
  </si>
  <si>
    <t>Subsistema de cableado horizontal</t>
  </si>
  <si>
    <t>Subsistema de cableado vertical</t>
  </si>
  <si>
    <t>Punto de Acceso WiFi 7 2.5 GbE</t>
  </si>
  <si>
    <t>Conectores LC Multimodo OM4</t>
  </si>
  <si>
    <t>Fibra Óptica Multimodo OM4 6 hilos</t>
  </si>
  <si>
    <t>Módulo transceptor óptico 10GBASE-SR</t>
  </si>
  <si>
    <t>Switch 48 Puertos</t>
  </si>
  <si>
    <t>Patch Panel 48 Puertos</t>
  </si>
  <si>
    <t>Racks Planta 1 y 2</t>
  </si>
  <si>
    <t>Regleta (PDU)</t>
  </si>
  <si>
    <t>Router Fortinet FG-60F-EU</t>
  </si>
  <si>
    <t>Bandeja de Fibra Óptica 96F, OM4, Duplex</t>
  </si>
  <si>
    <t>SAI CyberPower 1000VA  Rackmount</t>
  </si>
  <si>
    <t>Bandeja Portacables 1U</t>
  </si>
  <si>
    <t>Certificación</t>
  </si>
  <si>
    <t>Tarifa Base</t>
  </si>
  <si>
    <t>Certificación de cable F/UTP Cat 6</t>
  </si>
  <si>
    <t>Certificación de Fibra Óptica</t>
  </si>
  <si>
    <t>Resumen</t>
  </si>
  <si>
    <t>Cámara para exteriores IP Reolink P320</t>
  </si>
  <si>
    <t>Switch 16 Puertos PoE+</t>
  </si>
  <si>
    <t>Armario 19U</t>
  </si>
  <si>
    <t>Patch Panel 16 Puertos</t>
  </si>
  <si>
    <t>Panel Ventilación 230V Rack 19'</t>
  </si>
  <si>
    <t>Etiquetas (pack de 300)</t>
  </si>
  <si>
    <t>Mano de Obra</t>
  </si>
  <si>
    <t>Refuerzo 1 Ayudante (5 días)</t>
  </si>
  <si>
    <t>2 Técnicos Especialistas (21 días)</t>
  </si>
  <si>
    <t>hrs.</t>
  </si>
  <si>
    <t>Gastos Operativos</t>
  </si>
  <si>
    <t xml:space="preserve">Material Consumible: Tacos, brocas, velcro, tornillería </t>
  </si>
  <si>
    <t>Logística: Parking y combustible</t>
  </si>
  <si>
    <t>Gestión de Residuos: cartones y restos de cables</t>
  </si>
  <si>
    <t>Consumibles (Tornillería, brocas, etiquetas, parking)</t>
  </si>
  <si>
    <t>Alquiler de Certificador Cat6/Fibra</t>
  </si>
  <si>
    <t>Generación de Reportes</t>
  </si>
  <si>
    <t>d</t>
  </si>
  <si>
    <t>Total (Sin IVA)</t>
  </si>
  <si>
    <t>Total (Con IVA)</t>
  </si>
  <si>
    <t>Beneficios Estimados</t>
  </si>
  <si>
    <t>Costes directos</t>
  </si>
  <si>
    <t>Ingreso total (PVP Cliente)</t>
  </si>
  <si>
    <t>Amortización de herramientas</t>
  </si>
  <si>
    <t>Beneficio neto estimado</t>
  </si>
  <si>
    <t>Margen de ganancia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</si>
</sst>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\ &quot;€&quot;"/>
    <numFmt numFmtId="165" formatCode="#,##0\ &quot;€&quot;"/>
    <numFmt numFmtId="166" formatCode="0.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8">
    <xf numFmtId="0" fontId="0" fillId="0" borderId="0" xfId="0"/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/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3" xfId="0" applyBorder="1"/>
    <xf numFmtId="164" fontId="0" fillId="0" borderId="24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8" fontId="0" fillId="0" borderId="12" xfId="0" applyNumberFormat="1" applyBorder="1" applyAlignment="1">
      <alignment horizontal="center" vertical="center"/>
    </xf>
    <xf numFmtId="8" fontId="0" fillId="0" borderId="6" xfId="0" applyNumberFormat="1" applyBorder="1" applyAlignment="1">
      <alignment horizontal="center" vertical="center"/>
    </xf>
    <xf numFmtId="8" fontId="0" fillId="0" borderId="18" xfId="0" applyNumberFormat="1" applyBorder="1" applyAlignment="1">
      <alignment horizontal="center" vertical="center"/>
    </xf>
    <xf numFmtId="8" fontId="0" fillId="0" borderId="28" xfId="0" applyNumberFormat="1" applyBorder="1" applyAlignment="1">
      <alignment horizontal="center" vertical="center"/>
    </xf>
    <xf numFmtId="8" fontId="0" fillId="0" borderId="19" xfId="0" applyNumberFormat="1" applyBorder="1" applyAlignment="1">
      <alignment horizontal="center" vertical="center"/>
    </xf>
    <xf numFmtId="8" fontId="0" fillId="0" borderId="9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4" xfId="0" applyBorder="1"/>
    <xf numFmtId="164" fontId="0" fillId="0" borderId="4" xfId="0" applyNumberFormat="1" applyBorder="1"/>
    <xf numFmtId="0" fontId="0" fillId="0" borderId="17" xfId="0" applyBorder="1"/>
    <xf numFmtId="164" fontId="0" fillId="0" borderId="17" xfId="0" applyNumberFormat="1" applyBorder="1"/>
    <xf numFmtId="0" fontId="0" fillId="0" borderId="0" xfId="0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3" fillId="0" borderId="47" xfId="0" applyNumberFormat="1" applyFont="1" applyBorder="1" applyAlignment="1">
      <alignment horizontal="center"/>
    </xf>
    <xf numFmtId="165" fontId="3" fillId="0" borderId="46" xfId="0" applyNumberFormat="1" applyFont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9" xfId="0" applyNumberFormat="1" applyBorder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48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1" fillId="0" borderId="5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0" xfId="1" applyFill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27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7" xfId="1" applyFill="1" applyBorder="1" applyAlignment="1">
      <alignment horizontal="center" vertical="center"/>
    </xf>
    <xf numFmtId="0" fontId="1" fillId="0" borderId="8" xfId="1" applyFill="1" applyBorder="1" applyAlignment="1">
      <alignment horizontal="center" vertical="center"/>
    </xf>
    <xf numFmtId="0" fontId="1" fillId="0" borderId="24" xfId="1" applyFill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1" fillId="0" borderId="27" xfId="1" applyFill="1" applyBorder="1" applyAlignment="1">
      <alignment horizontal="center" vertical="center"/>
    </xf>
    <xf numFmtId="0" fontId="1" fillId="0" borderId="12" xfId="1" applyFill="1" applyBorder="1" applyAlignment="1">
      <alignment horizontal="center" vertical="center"/>
    </xf>
    <xf numFmtId="0" fontId="1" fillId="0" borderId="18" xfId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/>
    <xf numFmtId="0" fontId="0" fillId="0" borderId="27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2" fillId="0" borderId="25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3" xfId="0" applyFont="1" applyFill="1" applyBorder="1"/>
    <xf numFmtId="0" fontId="4" fillId="4" borderId="24" xfId="0" applyFont="1" applyFill="1" applyBorder="1" applyAlignment="1">
      <alignment horizontal="center" vertical="center"/>
    </xf>
    <xf numFmtId="8" fontId="4" fillId="4" borderId="6" xfId="0" applyNumberFormat="1" applyFont="1" applyFill="1" applyBorder="1"/>
    <xf numFmtId="0" fontId="4" fillId="4" borderId="1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4" fillId="4" borderId="6" xfId="0" applyNumberFormat="1" applyFont="1" applyFill="1" applyBorder="1"/>
    <xf numFmtId="0" fontId="4" fillId="4" borderId="45" xfId="0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64" fontId="4" fillId="4" borderId="29" xfId="0" applyNumberFormat="1" applyFont="1" applyFill="1" applyBorder="1"/>
    <xf numFmtId="0" fontId="4" fillId="4" borderId="39" xfId="0" applyFont="1" applyFill="1" applyBorder="1" applyAlignment="1">
      <alignment horizontal="center"/>
    </xf>
    <xf numFmtId="0" fontId="4" fillId="4" borderId="40" xfId="0" applyFont="1" applyFill="1" applyBorder="1" applyAlignment="1">
      <alignment horizontal="center"/>
    </xf>
    <xf numFmtId="2" fontId="4" fillId="4" borderId="40" xfId="0" applyNumberFormat="1" applyFont="1" applyFill="1" applyBorder="1" applyAlignment="1">
      <alignment horizontal="center"/>
    </xf>
    <xf numFmtId="2" fontId="4" fillId="4" borderId="41" xfId="0" applyNumberFormat="1" applyFont="1" applyFill="1" applyBorder="1" applyAlignment="1">
      <alignment horizontal="center"/>
    </xf>
    <xf numFmtId="2" fontId="4" fillId="4" borderId="34" xfId="0" applyNumberFormat="1" applyFont="1" applyFill="1" applyBorder="1" applyAlignment="1">
      <alignment horizontal="center"/>
    </xf>
    <xf numFmtId="2" fontId="4" fillId="4" borderId="35" xfId="0" applyNumberFormat="1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49" xfId="1" applyFont="1" applyFill="1" applyBorder="1" applyAlignment="1">
      <alignment horizontal="center" vertical="center"/>
    </xf>
    <xf numFmtId="164" fontId="4" fillId="4" borderId="50" xfId="0" applyNumberFormat="1" applyFont="1" applyFill="1" applyBorder="1" applyAlignment="1">
      <alignment horizontal="center"/>
    </xf>
    <xf numFmtId="164" fontId="4" fillId="4" borderId="51" xfId="0" applyNumberFormat="1" applyFont="1" applyFill="1" applyBorder="1" applyAlignment="1">
      <alignment horizontal="center"/>
    </xf>
    <xf numFmtId="164" fontId="4" fillId="4" borderId="52" xfId="0" applyNumberFormat="1" applyFont="1" applyFill="1" applyBorder="1" applyAlignment="1">
      <alignment horizontal="center"/>
    </xf>
    <xf numFmtId="0" fontId="7" fillId="4" borderId="39" xfId="1" applyFont="1" applyFill="1" applyBorder="1" applyAlignment="1">
      <alignment horizontal="center" vertical="center"/>
    </xf>
    <xf numFmtId="0" fontId="7" fillId="4" borderId="40" xfId="1" applyFont="1" applyFill="1" applyBorder="1" applyAlignment="1">
      <alignment horizontal="center" vertical="center"/>
    </xf>
    <xf numFmtId="0" fontId="7" fillId="4" borderId="41" xfId="1" applyFont="1" applyFill="1" applyBorder="1" applyAlignment="1">
      <alignment horizontal="center" vertical="center"/>
    </xf>
    <xf numFmtId="166" fontId="4" fillId="4" borderId="33" xfId="0" applyNumberFormat="1" applyFont="1" applyFill="1" applyBorder="1" applyAlignment="1">
      <alignment horizontal="center"/>
    </xf>
    <xf numFmtId="166" fontId="4" fillId="4" borderId="34" xfId="0" applyNumberFormat="1" applyFont="1" applyFill="1" applyBorder="1" applyAlignment="1">
      <alignment horizontal="center"/>
    </xf>
    <xf numFmtId="166" fontId="4" fillId="4" borderId="35" xfId="0" applyNumberFormat="1" applyFont="1" applyFill="1" applyBorder="1" applyAlignment="1">
      <alignment horizontal="center"/>
    </xf>
    <xf numFmtId="164" fontId="0" fillId="0" borderId="14" xfId="0" applyNumberFormat="1" applyBorder="1" applyAlignment="1">
      <alignment horizontal="center" vertical="center"/>
    </xf>
    <xf numFmtId="0" fontId="4" fillId="4" borderId="31" xfId="0" applyFont="1" applyFill="1" applyBorder="1" applyAlignment="1">
      <alignment horizontal="center"/>
    </xf>
    <xf numFmtId="164" fontId="0" fillId="0" borderId="53" xfId="0" applyNumberForma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/>
    </xf>
    <xf numFmtId="2" fontId="4" fillId="4" borderId="33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kanet.es/rosetas-de-pared/74-roseta-de-superficie-cat6-ftp-con-1-rj45-.html?gad_source=1&amp;gad_campaignid=21268104643&amp;gbraid=0AAAAADotYNPItWBLA6D3YBEDWRRE3CmOv&amp;gclid=EAIaIQobChMIl5Ouvcf1kQMVC5SDBx3F4B4FEAQYAiABEgLnV_D_BwE" TargetMode="External"/><Relationship Id="rId13" Type="http://schemas.openxmlformats.org/officeDocument/2006/relationships/hyperlink" Target="https://www.makro.es/marketplace/product/d0231667-d96b-48de-938b-1874b8333d2c?mfeed_oid=ad3db7e4-48b4-486f-aaee-531fbf155d4c&amp;mfeed_bm=1&amp;utm_source=google&amp;utm_medium=cpc&amp;utm_campaign=es_mm_ag_pmax_all_dynamic_all_b2c_feed_high&amp;gad_source=1&amp;gad_campaignid=20874533919&amp;gbraid=0AAAAABqLeUpgAAo3S2vlN2A340YWL7XRK&amp;gclid=EAIaIQobChMI8v_Hi8_1kQMVXZmDBx0T6AseEAQYByABEgIQSfD_BwE" TargetMode="External"/><Relationship Id="rId18" Type="http://schemas.openxmlformats.org/officeDocument/2006/relationships/hyperlink" Target="https://www.fs.com/es/products/11552.html?now_cid=63" TargetMode="External"/><Relationship Id="rId26" Type="http://schemas.openxmlformats.org/officeDocument/2006/relationships/hyperlink" Target="https://www.thomann.es/the_t.racks_rack_organizer_1u.htm?gad_source=1&amp;gad_campaignid=1550876285&amp;gbraid=0AAAAADuDMCWrv4nRfQkQuvXPAnfEdSNWH&amp;gclid=EAIaIQobChMI4pPgxZ_2kQMVbvx5BB3eNwiMEAQYAiABEgL6j_D_BwE" TargetMode="External"/><Relationship Id="rId3" Type="http://schemas.openxmlformats.org/officeDocument/2006/relationships/hyperlink" Target="https://distribuidorelectrico.com/serie-simon-500-cima/7381-simon-51000401-030-kit-caja-pared-superficie-empotrar-4-elementos-dobles-con-enchufes-sai-y-rj45-simon-500-cima-8421053100387.html" TargetMode="External"/><Relationship Id="rId21" Type="http://schemas.openxmlformats.org/officeDocument/2006/relationships/hyperlink" Target="https://www.fs.com/es/products/69082.html?country=ES&amp;currency=EUR&amp;languages=Espa%C3%B1ol&amp;paid=google_shopping&amp;gad_source=1&amp;gad_campaignid=17941081609&amp;gbraid=0AAAAAoz-wfTFfqqYwet5E84wj9k3Vso4r&amp;gclid=EAIaIQobChMIofyykpf2kQMVk5ZQBh2NHwNUEAQYBiABEgIRdvD_BwE" TargetMode="External"/><Relationship Id="rId7" Type="http://schemas.openxmlformats.org/officeDocument/2006/relationships/hyperlink" Target="https://www.cablecel.com/productos/redes-voz-y-datos/cable-de-datos/catergoria-6/cable-ftp-cat6/cable-f-utp-cat6-lsoh-violeta-excel/" TargetMode="External"/><Relationship Id="rId12" Type="http://schemas.openxmlformats.org/officeDocument/2006/relationships/hyperlink" Target="https://www.amazon.es/Etiquetas-autoadhesivas-adhesivos-impermeables-resistentes/dp/B0B3XX4CBC/ref=asc_df_B0B3XX4CBC?mcid=4e22a1c7ff8435dcac8e4ec04ba0793d&amp;tag=googshopes-21&amp;linkCode=df0&amp;hvadid=699764904205&amp;hvpos=&amp;hvnetw=g&amp;hvrand=4596552042673777112&amp;hvpone=&amp;hvptwo=&amp;hvqmt=&amp;hvdev=c&amp;hvdvcmdl=&amp;hvlocint=&amp;hvlocphy=9061036&amp;hvtargid=pla-1774905055567&amp;psc=1&amp;hvocijid=4596552042673777112-B0B3XX4CBC-&amp;hvexpln=0" TargetMode="External"/><Relationship Id="rId17" Type="http://schemas.openxmlformats.org/officeDocument/2006/relationships/hyperlink" Target="https://www.leroymerlin.es/productos/canaleta-adhesiva-tehalit-blanca-6x9-mm-de-2-metros-13855492.html?aw_affid=716835&amp;sv1=affiliate&amp;sv_campaign_id=716835&amp;awc=20598_1767653315_3c15f7008cf124746a5d5b3da06ee6d4&amp;utm_id=387962916&amp;utm_source=awin&amp;utm_medium=afiliacion&amp;utm_term=716835&amp;utm_content=35545468441&amp;utm_campaign=lmes_nac_na_ao_Afiliados_20240101_20241231&amp;sv1=affiliate&amp;sv_campaign_id=716835&amp;gad_source=7&amp;dclid=CN6m79-99ZEDFavBDQkdVKk6RA" TargetMode="External"/><Relationship Id="rId25" Type="http://schemas.openxmlformats.org/officeDocument/2006/relationships/hyperlink" Target="https://todosai.com/sai-ups/154-sai-cyberpower-smart-app-office-rackmount-1000va-600w-greenpower-or1000elcdrm1u-4712364141164.html" TargetMode="External"/><Relationship Id="rId2" Type="http://schemas.openxmlformats.org/officeDocument/2006/relationships/hyperlink" Target="https://www.leroymerlin.es/productos/canaleta-adhesiva-tehalit-blanca-6x9-mm-de-2-metros-13855492.html?aw_affid=716835&amp;sv1=affiliate&amp;sv_campaign_id=716835&amp;awc=20598_1767653315_3c15f7008cf124746a5d5b3da06ee6d4&amp;utm_id=387962916&amp;utm_source=awin&amp;utm_medium=afiliacion&amp;utm_term=716835&amp;utm_content=35545468441&amp;utm_campaign=lmes_nac_na_ao_Afiliados_20240101_20241231&amp;sv1=affiliate&amp;sv_campaign_id=716835&amp;gad_source=7&amp;dclid=CN6m79-99ZEDFavBDQkdVKk6RA" TargetMode="External"/><Relationship Id="rId16" Type="http://schemas.openxmlformats.org/officeDocument/2006/relationships/hyperlink" Target="https://www.reichelt.com/es/es/shop/producto/conector_lc_multimodo_simple-152148?PROVID=2855&amp;gad_source=1&amp;gad_campaignid=21186471280&amp;gbraid=0AAAAADwnxtYOPZJqJ2t9aWqYHOQktud__&amp;gclid=EAIaIQobChMIzOvGw931kQMV6NBEBx1bTzedEAQYAyABEgJ1qvD_BwE" TargetMode="External"/><Relationship Id="rId20" Type="http://schemas.openxmlformats.org/officeDocument/2006/relationships/hyperlink" Target="https://www.thomann.es/millenium_ir_2022.htm?gad_source=1&amp;gad_campaignid=1550876285&amp;gbraid=0AAAAADuDMCVlEga809u1zWc_IgEwkNXXn&amp;gclid=EAIaIQobChMIoPCxrceOkgMVppODBx3-2ybREAQYASABEgIV7PD_BwE" TargetMode="External"/><Relationship Id="rId29" Type="http://schemas.openxmlformats.org/officeDocument/2006/relationships/hyperlink" Target="https://www.fs.com/es/products/134657.html?country=ES&amp;currency=EUR&amp;languages=Espa%C3%B1ol&amp;paid=google_shopping&amp;gad_source=1&amp;gad_campaignid=17941081654&amp;gbraid=0AAAAAoz-wfQFhx-4h9Xdvx6sw3b1Dkl8D&amp;gclid=EAIaIQobChMIxMqr6MaOkgMVfqSDBx3Y1SY5EAQYASABEgJ8e_D_BwE" TargetMode="External"/><Relationship Id="rId1" Type="http://schemas.openxmlformats.org/officeDocument/2006/relationships/hyperlink" Target="https://www.leroymerlin.es/productos/bandeja-para-rejilla-3m-rejiband-rapid-60x100-88279306.html?highlightedOfferCode=db917e6a3e15841fac41736885f7c67214b802fc" TargetMode="External"/><Relationship Id="rId6" Type="http://schemas.openxmlformats.org/officeDocument/2006/relationships/hyperlink" Target="https://www.leroymerlin.es/productos/soporte-regulable-dexter-para-terraza-y-baldosas-de-36mm-60mm-86613537.html?highlightedOfferCode=de5de8282b00d48ca9e771e2492dc7edaa68d5a5&amp;gclsrc=aw.ds&amp;&amp;utm_medium=cpc&amp;utm_source=google-shopping&amp;utm_campaign=lmes_conversion_ao_performance&amp;utm_id=21814177812&amp;utm_campaign_id=21814177812&amp;utm_content=climatizacion-brand&amp;gad_source=1&amp;gad_campaignid=21814177812&amp;gbraid=0AAAAADt3h9nT5cx8XM2aPs3n4zCg5M8OA&amp;gclid=EAIaIQobChMI87qw38T1kQMVEKODBx3U1RufEAQYAiABEgKy-vD_BwE" TargetMode="External"/><Relationship Id="rId11" Type="http://schemas.openxmlformats.org/officeDocument/2006/relationships/hyperlink" Target="https://www.semicstore.es/aisens-conector-rj45-8-hilos-cat-6-awg24-100-uds.html?utm_source=google&amp;utm_medium=cpc&amp;utm_campaign=%7bcampaign%7d&amp;utm_content=%7badgroup%7d&amp;utm_term=pla-294505072980&amp;utm_product_id=A139-0657&amp;gad_source=1&amp;gad_campaignid=22732972515&amp;gbraid=0AAAAA9y4vZMD3nLlUxzirIjz6okcX0rZm&amp;gclid=EAIaIQobChMI8I3U98v1kQMVg1RBAh3mOA0YEAQYASABEgJaFvD_BwE" TargetMode="External"/><Relationship Id="rId24" Type="http://schemas.openxmlformats.org/officeDocument/2006/relationships/hyperlink" Target="https://www.pccomponentes.com/equip-regleta-8-tomas-para-rack-19-1u?utm_source=369493&amp;utm_medium=afi&amp;utm_campaign=www.google.com&amp;sv1=affiliate&amp;sv_campaign_id=369493&amp;awc=20982_1767678367_dc6c4cbb7f5fcd750d9b482cd966a3c9&amp;utm_term=deeplink&amp;utm_content=b23e0d04-12e7-4bf1-8242-6fae565bf14c" TargetMode="External"/><Relationship Id="rId5" Type="http://schemas.openxmlformats.org/officeDocument/2006/relationships/hyperlink" Target="https://www.leroymerlin.es/productos/soporte-omega-s-plus-100-pg-pemsa-84902376.html?highlightedOfferCode=0e8438e1bc80d479125c1ca039c38755b7820aec&amp;gclsrc=aw.ds&amp;&amp;utm_medium=cpc&amp;utm_source=google-shopping&amp;utm_campaign=lmes_conversion_ao_performance&amp;utm_id=21854079563&amp;utm_campaign_id=21854079563&amp;utm_content=margen-herramientas-generic&amp;gad_source=1&amp;gad_campaignid=21854079563&amp;gbraid=0AAAAADt3h9nSBsVOqv0rEz0-A8byDY4Yr&amp;gclid=EAIaIQobChMIhJ232MP1kQMVeJ6DBx3kzRmyEAQYAiABEgJ4YvD_BwE" TargetMode="External"/><Relationship Id="rId15" Type="http://schemas.openxmlformats.org/officeDocument/2006/relationships/hyperlink" Target="https://www.legrand.es/es/productos/cables-fibra-optica-multimodo-om4-interiorexterior-lszh-6-fibras-ajustada-032665" TargetMode="External"/><Relationship Id="rId23" Type="http://schemas.openxmlformats.org/officeDocument/2006/relationships/hyperlink" Target="https://www.electropolis.es/digitus-panel-de-conexion-clase-e-cat-6-in-dmi-ar20267151-319905.html?gad_source=1&amp;gad_campaignid=724132730&amp;gbraid=0AAAAADOmZD3NBxV0E8dXhjFI_MePU2vRH&amp;gclid=EAIaIQobChMIopzjntOOkgMVxrGDBx01TzUlEAQYAyABEgL3wvD_BwE" TargetMode="External"/><Relationship Id="rId28" Type="http://schemas.openxmlformats.org/officeDocument/2006/relationships/hyperlink" Target="https://www.fs.com/es/products/103011.html?country=ES&amp;currency=EUR&amp;languages=Espa%C3%B1ol&amp;paid=google_shopping&amp;gad_source=1&amp;gad_campaignid=17941081654&amp;gbraid=0AAAAAoz-wfQFhx-4h9Xdvx6sw3b1Dkl8D&amp;gclid=EAIaIQobChMI9OXk2MWOkgMV-ZSDBx1sWjS2EAQYASABEgKDzvD_BwE" TargetMode="External"/><Relationship Id="rId10" Type="http://schemas.openxmlformats.org/officeDocument/2006/relationships/hyperlink" Target="https://www.amazon.es/dp/B07ZVNXPLX?source=ps-sl-shoppingads-lpcontext&amp;ref_=fplfs&amp;psc=1&amp;smid=A2N58YCCQNSUNR&amp;language=pt_PT" TargetMode="External"/><Relationship Id="rId19" Type="http://schemas.openxmlformats.org/officeDocument/2006/relationships/hyperlink" Target="https://it-planet.com/es/p/fortinet-fg-60f-eu-414641.html?number=9976477000&amp;gad_source=1&amp;gad_campaignid=17414006826&amp;gbraid=0AAAAAC89HVTWSITQslXnxReKpm1_R3hg6&amp;gclid=CjwKCAiA3-3KBhBiEiwA2x7FdD3g6BuNQQe0MYhhzEc6UfAGFHEa_CfKsFJe-lSj1fawed2mSNJB4BoCxI0QAvD_BwE" TargetMode="External"/><Relationship Id="rId4" Type="http://schemas.openxmlformats.org/officeDocument/2006/relationships/hyperlink" Target="https://www.leroymerlin.es/productos/bolsa-de-50-unidades-de-union-reforzado-bycro-pemsa-84902367.html?highlightedOfferCode=4d5f78d6c75ed04b8b40c602a98f0c0629cd3641&amp;gclsrc=aw.ds&amp;&amp;utm_medium=cpc&amp;utm_source=google-shopping&amp;utm_campaign=lmes_conversion_ao_performance&amp;utm_id=21854079563&amp;utm_campaign_id=21854079563&amp;utm_content=margen-herramientas-generic&amp;gad_source=1&amp;gad_campaignid=21854079563&amp;gbraid=0AAAAADt3h9nSBsVOqv0rEz0-A8byDY4Yr&amp;gclid=EAIaIQobChMItv_mmcP1kQMViYCDBx2zbwSkEAQYAiABEgI_evD_BwE" TargetMode="External"/><Relationship Id="rId9" Type="http://schemas.openxmlformats.org/officeDocument/2006/relationships/hyperlink" Target="https://ekanet.es/rosetas-de-pared/73-roseta-de-superficie-cat6-utp-con-2-conectores-rj45.html?gad_source=1&amp;gad_campaignid=21268104643&amp;gbraid=0AAAAADotYNPItWBLA6D3YBEDWRRE3CmOv&amp;gclid=EAIaIQobChMIuJH--8j1kQMVEY2DBx0xDB1nEAQYASABEgIFyPD_BwE" TargetMode="External"/><Relationship Id="rId14" Type="http://schemas.openxmlformats.org/officeDocument/2006/relationships/hyperlink" Target="https://www.pccomponentes.com/ubiquiti-u7-lite-punto-de-acceso-wifi-7-con-4-flujos-espaciales-y-enlace-ascendente-de-25gbe-poe?campaigntype=eshopping&amp;campaignchannel=shopping&amp;gad_source=1&amp;gad_campaignid=17149275343&amp;gclid=EAIaIQobChMImPu0utD1kQMVVntBAh2uYCNHEAQYBSABEgLa8vD_BwE" TargetMode="External"/><Relationship Id="rId22" Type="http://schemas.openxmlformats.org/officeDocument/2006/relationships/hyperlink" Target="https://ekanet.es/patchpanel-cat6a/2703-patchpanel-cat6a-ftp-19-1u-48-puertos.html?gad_source=1&amp;gad_campaignid=21268104643&amp;gbraid=0AAAAADotYNP-WSJGfA45EvguUaeIOc6G8&amp;gclid=EAIaIQobChMIgP-D9tKOkgMVuYuDBx1ilSHIEAQYAyABEgJT1vD_BwE" TargetMode="External"/><Relationship Id="rId27" Type="http://schemas.openxmlformats.org/officeDocument/2006/relationships/hyperlink" Target="https://www.ldlc.com/es-es/ficha/PB00714007.html?utm_source=google&amp;utm_medium=cpc&amp;utm_campaign=ads&amp;gad_source=1&amp;gad_campaignid=1597771196&amp;gbraid=0AAAAAD_GrRca2bFGjpQjfY4KfFQgs6YQB&amp;gclid=EAIaIQobChMI586Hjvv3kQMVz6uDBx1WAgbjEAQYAyABEgKfOvD_BwE" TargetMode="External"/><Relationship Id="rId30" Type="http://schemas.openxmlformats.org/officeDocument/2006/relationships/hyperlink" Target="https://www.beep.es/ak-1503-b-panel-ventilacion-lanberg-lcd-4-ventiladores-termostato-230v-1u-rack-/p?idsku=78025&amp;tduid=a7f1380161b8a6441e5b1df837b4d427&amp;utm_source=tradedoubler&amp;utm_medium=Afiliado&amp;utm_campaign=transactions&amp;utm_term=323347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kanet.es/rosetas-de-pared/74-roseta-de-superficie-cat6-ftp-con-1-rj45-.html?gad_source=1&amp;gad_campaignid=21268104643&amp;gbraid=0AAAAADotYNPItWBLA6D3YBEDWRRE3CmOv&amp;gclid=EAIaIQobChMIl5Ouvcf1kQMVC5SDBx3F4B4FEAQYAiABEgLnV_D_BwE" TargetMode="External"/><Relationship Id="rId13" Type="http://schemas.openxmlformats.org/officeDocument/2006/relationships/hyperlink" Target="https://www.makro.es/marketplace/product/d0231667-d96b-48de-938b-1874b8333d2c?mfeed_oid=ad3db7e4-48b4-486f-aaee-531fbf155d4c&amp;mfeed_bm=1&amp;utm_source=google&amp;utm_medium=cpc&amp;utm_campaign=es_mm_ag_pmax_all_dynamic_all_b2c_feed_high&amp;gad_source=1&amp;gad_campaignid=20874533919&amp;gbraid=0AAAAABqLeUpgAAo3S2vlN2A340YWL7XRK&amp;gclid=EAIaIQobChMI8v_Hi8_1kQMVXZmDBx0T6AseEAQYByABEgIQSfD_BwE" TargetMode="External"/><Relationship Id="rId18" Type="http://schemas.openxmlformats.org/officeDocument/2006/relationships/hyperlink" Target="https://www.fs.com/es/products/11552.html?now_cid=63" TargetMode="External"/><Relationship Id="rId26" Type="http://schemas.openxmlformats.org/officeDocument/2006/relationships/hyperlink" Target="https://www.thomann.es/the_t.racks_rack_organizer_1u.htm?gad_source=1&amp;gad_campaignid=1550876285&amp;gbraid=0AAAAADuDMCWrv4nRfQkQuvXPAnfEdSNWH&amp;gclid=EAIaIQobChMI4pPgxZ_2kQMVbvx5BB3eNwiMEAQYAiABEgL6j_D_BwE" TargetMode="External"/><Relationship Id="rId3" Type="http://schemas.openxmlformats.org/officeDocument/2006/relationships/hyperlink" Target="https://distribuidorelectrico.com/serie-simon-500-cima/7381-simon-51000401-030-kit-caja-pared-superficie-empotrar-4-elementos-dobles-con-enchufes-sai-y-rj45-simon-500-cima-8421053100387.html" TargetMode="External"/><Relationship Id="rId21" Type="http://schemas.openxmlformats.org/officeDocument/2006/relationships/hyperlink" Target="https://www.fs.com/es/products/69082.html?country=ES&amp;currency=EUR&amp;languages=Espa%C3%B1ol&amp;paid=google_shopping&amp;gad_source=1&amp;gad_campaignid=17941081609&amp;gbraid=0AAAAAoz-wfTFfqqYwet5E84wj9k3Vso4r&amp;gclid=EAIaIQobChMIofyykpf2kQMVk5ZQBh2NHwNUEAQYBiABEgIRdvD_BwE" TargetMode="External"/><Relationship Id="rId7" Type="http://schemas.openxmlformats.org/officeDocument/2006/relationships/hyperlink" Target="https://www.cablecel.com/productos/redes-voz-y-datos/cable-de-datos/catergoria-6/cable-ftp-cat6/cable-f-utp-cat6-lsoh-violeta-excel/" TargetMode="External"/><Relationship Id="rId12" Type="http://schemas.openxmlformats.org/officeDocument/2006/relationships/hyperlink" Target="https://www.amazon.es/Etiquetas-autoadhesivas-adhesivos-impermeables-resistentes/dp/B0B3XX4CBC/ref=asc_df_B0B3XX4CBC?mcid=4e22a1c7ff8435dcac8e4ec04ba0793d&amp;tag=googshopes-21&amp;linkCode=df0&amp;hvadid=699764904205&amp;hvpos=&amp;hvnetw=g&amp;hvrand=4596552042673777112&amp;hvpone=&amp;hvptwo=&amp;hvqmt=&amp;hvdev=c&amp;hvdvcmdl=&amp;hvlocint=&amp;hvlocphy=9061036&amp;hvtargid=pla-1774905055567&amp;psc=1&amp;hvocijid=4596552042673777112-B0B3XX4CBC-&amp;hvexpln=0" TargetMode="External"/><Relationship Id="rId17" Type="http://schemas.openxmlformats.org/officeDocument/2006/relationships/hyperlink" Target="https://www.leroymerlin.es/productos/canaleta-adhesiva-tehalit-blanca-6x9-mm-de-2-metros-13855492.html?aw_affid=716835&amp;sv1=affiliate&amp;sv_campaign_id=716835&amp;awc=20598_1767653315_3c15f7008cf124746a5d5b3da06ee6d4&amp;utm_id=387962916&amp;utm_source=awin&amp;utm_medium=afiliacion&amp;utm_term=716835&amp;utm_content=35545468441&amp;utm_campaign=lmes_nac_na_ao_Afiliados_20240101_20241231&amp;sv1=affiliate&amp;sv_campaign_id=716835&amp;gad_source=7&amp;dclid=CN6m79-99ZEDFavBDQkdVKk6RA" TargetMode="External"/><Relationship Id="rId25" Type="http://schemas.openxmlformats.org/officeDocument/2006/relationships/hyperlink" Target="https://todosai.com/sai-ups/154-sai-cyberpower-smart-app-office-rackmount-1000va-600w-greenpower-or1000elcdrm1u-4712364141164.html" TargetMode="External"/><Relationship Id="rId2" Type="http://schemas.openxmlformats.org/officeDocument/2006/relationships/hyperlink" Target="https://www.leroymerlin.es/productos/canaleta-adhesiva-tehalit-blanca-6x9-mm-de-2-metros-13855492.html?aw_affid=716835&amp;sv1=affiliate&amp;sv_campaign_id=716835&amp;awc=20598_1767653315_3c15f7008cf124746a5d5b3da06ee6d4&amp;utm_id=387962916&amp;utm_source=awin&amp;utm_medium=afiliacion&amp;utm_term=716835&amp;utm_content=35545468441&amp;utm_campaign=lmes_nac_na_ao_Afiliados_20240101_20241231&amp;sv1=affiliate&amp;sv_campaign_id=716835&amp;gad_source=7&amp;dclid=CN6m79-99ZEDFavBDQkdVKk6RA" TargetMode="External"/><Relationship Id="rId16" Type="http://schemas.openxmlformats.org/officeDocument/2006/relationships/hyperlink" Target="https://www.reichelt.com/es/es/shop/producto/conector_lc_multimodo_simple-152148?PROVID=2855&amp;gad_source=1&amp;gad_campaignid=21186471280&amp;gbraid=0AAAAADwnxtYOPZJqJ2t9aWqYHOQktud__&amp;gclid=EAIaIQobChMIzOvGw931kQMV6NBEBx1bTzedEAQYAyABEgJ1qvD_BwE" TargetMode="External"/><Relationship Id="rId20" Type="http://schemas.openxmlformats.org/officeDocument/2006/relationships/hyperlink" Target="https://www.thomann.es/millenium_ir_2022.htm?gad_source=1&amp;gad_campaignid=1550876285&amp;gbraid=0AAAAADuDMCVlEga809u1zWc_IgEwkNXXn&amp;gclid=EAIaIQobChMIoPCxrceOkgMVppODBx3-2ybREAQYASABEgIV7PD_BwE" TargetMode="External"/><Relationship Id="rId29" Type="http://schemas.openxmlformats.org/officeDocument/2006/relationships/hyperlink" Target="https://www.fs.com/es/products/134657.html?country=ES&amp;currency=EUR&amp;languages=Espa%C3%B1ol&amp;paid=google_shopping&amp;gad_source=1&amp;gad_campaignid=17941081654&amp;gbraid=0AAAAAoz-wfQFhx-4h9Xdvx6sw3b1Dkl8D&amp;gclid=EAIaIQobChMIxMqr6MaOkgMVfqSDBx3Y1SY5EAQYASABEgJ8e_D_BwE" TargetMode="External"/><Relationship Id="rId1" Type="http://schemas.openxmlformats.org/officeDocument/2006/relationships/hyperlink" Target="https://www.leroymerlin.es/productos/bandeja-para-rejilla-3m-rejiband-rapid-60x100-88279306.html?highlightedOfferCode=db917e6a3e15841fac41736885f7c67214b802fc" TargetMode="External"/><Relationship Id="rId6" Type="http://schemas.openxmlformats.org/officeDocument/2006/relationships/hyperlink" Target="https://www.leroymerlin.es/productos/soporte-regulable-dexter-para-terraza-y-baldosas-de-36mm-60mm-86613537.html?highlightedOfferCode=de5de8282b00d48ca9e771e2492dc7edaa68d5a5&amp;gclsrc=aw.ds&amp;&amp;utm_medium=cpc&amp;utm_source=google-shopping&amp;utm_campaign=lmes_conversion_ao_performance&amp;utm_id=21814177812&amp;utm_campaign_id=21814177812&amp;utm_content=climatizacion-brand&amp;gad_source=1&amp;gad_campaignid=21814177812&amp;gbraid=0AAAAADt3h9nT5cx8XM2aPs3n4zCg5M8OA&amp;gclid=EAIaIQobChMI87qw38T1kQMVEKODBx3U1RufEAQYAiABEgKy-vD_BwE" TargetMode="External"/><Relationship Id="rId11" Type="http://schemas.openxmlformats.org/officeDocument/2006/relationships/hyperlink" Target="https://www.semicstore.es/aisens-conector-rj45-8-hilos-cat-6-awg24-100-uds.html?utm_source=google&amp;utm_medium=cpc&amp;utm_campaign=%7bcampaign%7d&amp;utm_content=%7badgroup%7d&amp;utm_term=pla-294505072980&amp;utm_product_id=A139-0657&amp;gad_source=1&amp;gad_campaignid=22732972515&amp;gbraid=0AAAAA9y4vZMD3nLlUxzirIjz6okcX0rZm&amp;gclid=EAIaIQobChMI8I3U98v1kQMVg1RBAh3mOA0YEAQYASABEgJaFvD_BwE" TargetMode="External"/><Relationship Id="rId24" Type="http://schemas.openxmlformats.org/officeDocument/2006/relationships/hyperlink" Target="https://www.pccomponentes.com/equip-regleta-8-tomas-para-rack-19-1u?utm_source=369493&amp;utm_medium=afi&amp;utm_campaign=www.google.com&amp;sv1=affiliate&amp;sv_campaign_id=369493&amp;awc=20982_1767678367_dc6c4cbb7f5fcd750d9b482cd966a3c9&amp;utm_term=deeplink&amp;utm_content=b23e0d04-12e7-4bf1-8242-6fae565bf14c" TargetMode="External"/><Relationship Id="rId5" Type="http://schemas.openxmlformats.org/officeDocument/2006/relationships/hyperlink" Target="https://www.leroymerlin.es/productos/soporte-omega-s-plus-100-pg-pemsa-84902376.html?highlightedOfferCode=0e8438e1bc80d479125c1ca039c38755b7820aec&amp;gclsrc=aw.ds&amp;&amp;utm_medium=cpc&amp;utm_source=google-shopping&amp;utm_campaign=lmes_conversion_ao_performance&amp;utm_id=21854079563&amp;utm_campaign_id=21854079563&amp;utm_content=margen-herramientas-generic&amp;gad_source=1&amp;gad_campaignid=21854079563&amp;gbraid=0AAAAADt3h9nSBsVOqv0rEz0-A8byDY4Yr&amp;gclid=EAIaIQobChMIhJ232MP1kQMVeJ6DBx3kzRmyEAQYAiABEgJ4YvD_BwE" TargetMode="External"/><Relationship Id="rId15" Type="http://schemas.openxmlformats.org/officeDocument/2006/relationships/hyperlink" Target="https://www.legrand.es/es/productos/cables-fibra-optica-multimodo-om4-interiorexterior-lszh-6-fibras-ajustada-032665" TargetMode="External"/><Relationship Id="rId23" Type="http://schemas.openxmlformats.org/officeDocument/2006/relationships/hyperlink" Target="https://www.electropolis.es/digitus-panel-de-conexion-clase-e-cat-6-in-dmi-ar20267151-319905.html?gad_source=1&amp;gad_campaignid=724132730&amp;gbraid=0AAAAADOmZD3NBxV0E8dXhjFI_MePU2vRH&amp;gclid=EAIaIQobChMIopzjntOOkgMVxrGDBx01TzUlEAQYAyABEgL3wvD_BwE" TargetMode="External"/><Relationship Id="rId28" Type="http://schemas.openxmlformats.org/officeDocument/2006/relationships/hyperlink" Target="https://www.fs.com/es/products/103011.html?country=ES&amp;currency=EUR&amp;languages=Espa%C3%B1ol&amp;paid=google_shopping&amp;gad_source=1&amp;gad_campaignid=17941081654&amp;gbraid=0AAAAAoz-wfQFhx-4h9Xdvx6sw3b1Dkl8D&amp;gclid=EAIaIQobChMI9OXk2MWOkgMV-ZSDBx1sWjS2EAQYASABEgKDzvD_BwE" TargetMode="External"/><Relationship Id="rId10" Type="http://schemas.openxmlformats.org/officeDocument/2006/relationships/hyperlink" Target="https://www.amazon.es/dp/B07ZVNXPLX?source=ps-sl-shoppingads-lpcontext&amp;ref_=fplfs&amp;psc=1&amp;smid=A2N58YCCQNSUNR&amp;language=pt_PT" TargetMode="External"/><Relationship Id="rId19" Type="http://schemas.openxmlformats.org/officeDocument/2006/relationships/hyperlink" Target="https://it-planet.com/es/p/fortinet-fg-60f-eu-414641.html?number=9976477000&amp;gad_source=1&amp;gad_campaignid=17414006826&amp;gbraid=0AAAAAC89HVTWSITQslXnxReKpm1_R3hg6&amp;gclid=CjwKCAiA3-3KBhBiEiwA2x7FdD3g6BuNQQe0MYhhzEc6UfAGFHEa_CfKsFJe-lSj1fawed2mSNJB4BoCxI0QAvD_BwE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leroymerlin.es/productos/bolsa-de-50-unidades-de-union-reforzado-bycro-pemsa-84902367.html?highlightedOfferCode=4d5f78d6c75ed04b8b40c602a98f0c0629cd3641&amp;gclsrc=aw.ds&amp;&amp;utm_medium=cpc&amp;utm_source=google-shopping&amp;utm_campaign=lmes_conversion_ao_performance&amp;utm_id=21854079563&amp;utm_campaign_id=21854079563&amp;utm_content=margen-herramientas-generic&amp;gad_source=1&amp;gad_campaignid=21854079563&amp;gbraid=0AAAAADt3h9nSBsVOqv0rEz0-A8byDY4Yr&amp;gclid=EAIaIQobChMItv_mmcP1kQMViYCDBx2zbwSkEAQYAiABEgI_evD_BwE" TargetMode="External"/><Relationship Id="rId9" Type="http://schemas.openxmlformats.org/officeDocument/2006/relationships/hyperlink" Target="https://ekanet.es/rosetas-de-pared/73-roseta-de-superficie-cat6-utp-con-2-conectores-rj45.html?gad_source=1&amp;gad_campaignid=21268104643&amp;gbraid=0AAAAADotYNPItWBLA6D3YBEDWRRE3CmOv&amp;gclid=EAIaIQobChMIuJH--8j1kQMVEY2DBx0xDB1nEAQYASABEgIFyPD_BwE" TargetMode="External"/><Relationship Id="rId14" Type="http://schemas.openxmlformats.org/officeDocument/2006/relationships/hyperlink" Target="https://www.pccomponentes.com/ubiquiti-u7-lite-punto-de-acceso-wifi-7-con-4-flujos-espaciales-y-enlace-ascendente-de-25gbe-poe?campaigntype=eshopping&amp;campaignchannel=shopping&amp;gad_source=1&amp;gad_campaignid=17149275343&amp;gclid=EAIaIQobChMImPu0utD1kQMVVntBAh2uYCNHEAQYBSABEgLa8vD_BwE" TargetMode="External"/><Relationship Id="rId22" Type="http://schemas.openxmlformats.org/officeDocument/2006/relationships/hyperlink" Target="https://ekanet.es/patchpanel-cat6a/2703-patchpanel-cat6a-ftp-19-1u-48-puertos.html?gad_source=1&amp;gad_campaignid=21268104643&amp;gbraid=0AAAAADotYNP-WSJGfA45EvguUaeIOc6G8&amp;gclid=EAIaIQobChMIgP-D9tKOkgMVuYuDBx1ilSHIEAQYAyABEgJT1vD_BwE" TargetMode="External"/><Relationship Id="rId27" Type="http://schemas.openxmlformats.org/officeDocument/2006/relationships/hyperlink" Target="https://www.ldlc.com/es-es/ficha/PB00714007.html?utm_source=google&amp;utm_medium=cpc&amp;utm_campaign=ads&amp;gad_source=1&amp;gad_campaignid=1597771196&amp;gbraid=0AAAAAD_GrRca2bFGjpQjfY4KfFQgs6YQB&amp;gclid=EAIaIQobChMI586Hjvv3kQMVz6uDBx1WAgbjEAQYAyABEgKfOvD_BwE" TargetMode="External"/><Relationship Id="rId30" Type="http://schemas.openxmlformats.org/officeDocument/2006/relationships/hyperlink" Target="https://www.beep.es/ak-1503-b-panel-ventilacion-lanberg-lcd-4-ventiladores-termostato-230v-1u-rack-/p?idsku=78025&amp;tduid=a7f1380161b8a6441e5b1df837b4d427&amp;utm_source=tradedoubler&amp;utm_medium=Afiliado&amp;utm_campaign=transactions&amp;utm_term=3233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55"/>
  <sheetViews>
    <sheetView tabSelected="1" topLeftCell="A10" zoomScaleNormal="100" workbookViewId="0">
      <selection activeCell="M20" sqref="M20:Q20"/>
    </sheetView>
  </sheetViews>
  <sheetFormatPr baseColWidth="10" defaultColWidth="8.88671875" defaultRowHeight="14.4" x14ac:dyDescent="0.3"/>
  <cols>
    <col min="10" max="10" width="13.77734375" customWidth="1"/>
  </cols>
  <sheetData>
    <row r="2" spans="1:20" ht="15" customHeight="1" x14ac:dyDescent="0.3"/>
    <row r="3" spans="1:20" ht="14.4" customHeight="1" thickBot="1" x14ac:dyDescent="0.35"/>
    <row r="4" spans="1:20" x14ac:dyDescent="0.3">
      <c r="B4" s="73" t="s">
        <v>4</v>
      </c>
      <c r="C4" s="74"/>
      <c r="D4" s="74"/>
      <c r="E4" s="74"/>
      <c r="F4" s="75"/>
      <c r="G4" s="82" t="s">
        <v>0</v>
      </c>
      <c r="H4" s="83"/>
      <c r="I4" s="84" t="s">
        <v>1</v>
      </c>
      <c r="J4" s="85"/>
      <c r="M4" s="36" t="s">
        <v>40</v>
      </c>
      <c r="N4" s="36"/>
      <c r="O4" s="36"/>
      <c r="P4" s="36"/>
      <c r="Q4" s="36"/>
      <c r="R4" s="36"/>
      <c r="S4" s="36"/>
      <c r="T4" s="36"/>
    </row>
    <row r="5" spans="1:20" x14ac:dyDescent="0.3">
      <c r="B5" s="76"/>
      <c r="C5" s="77"/>
      <c r="D5" s="77"/>
      <c r="E5" s="77"/>
      <c r="F5" s="78"/>
      <c r="G5" s="86" t="s">
        <v>5</v>
      </c>
      <c r="H5" s="87" t="s">
        <v>6</v>
      </c>
      <c r="I5" s="86" t="s">
        <v>7</v>
      </c>
      <c r="J5" s="110" t="s">
        <v>2</v>
      </c>
      <c r="M5" s="37" t="s">
        <v>22</v>
      </c>
      <c r="N5" s="38"/>
      <c r="O5" s="38"/>
      <c r="P5" s="38"/>
      <c r="Q5" s="39"/>
      <c r="R5" s="46">
        <f>J24</f>
        <v>7406.2300000000014</v>
      </c>
      <c r="S5" s="46"/>
      <c r="T5" s="47"/>
    </row>
    <row r="6" spans="1:20" x14ac:dyDescent="0.3">
      <c r="B6" s="79"/>
      <c r="C6" s="80"/>
      <c r="D6" s="80"/>
      <c r="E6" s="80"/>
      <c r="F6" s="81"/>
      <c r="G6" s="86"/>
      <c r="H6" s="87"/>
      <c r="I6" s="86"/>
      <c r="J6" s="110"/>
      <c r="M6" s="42" t="s">
        <v>23</v>
      </c>
      <c r="N6" s="43"/>
      <c r="O6" s="43"/>
      <c r="P6" s="43"/>
      <c r="Q6" s="44"/>
      <c r="R6" s="45">
        <f>J30</f>
        <v>311.38299999999992</v>
      </c>
      <c r="S6" s="46"/>
      <c r="T6" s="47"/>
    </row>
    <row r="7" spans="1:20" x14ac:dyDescent="0.3">
      <c r="B7" s="72" t="s">
        <v>22</v>
      </c>
      <c r="C7" s="72"/>
      <c r="D7" s="72"/>
      <c r="E7" s="72"/>
      <c r="F7" s="72"/>
      <c r="G7" s="72"/>
      <c r="H7" s="72"/>
      <c r="I7" s="72"/>
      <c r="J7" s="72"/>
      <c r="M7" s="42" t="s">
        <v>30</v>
      </c>
      <c r="N7" s="43"/>
      <c r="O7" s="43"/>
      <c r="P7" s="43"/>
      <c r="Q7" s="44"/>
      <c r="R7" s="92">
        <f>J43</f>
        <v>5092.5599999999995</v>
      </c>
      <c r="S7" s="46"/>
      <c r="T7" s="47"/>
    </row>
    <row r="8" spans="1:20" x14ac:dyDescent="0.3">
      <c r="A8" s="8"/>
      <c r="B8" s="60" t="s">
        <v>17</v>
      </c>
      <c r="C8" s="61"/>
      <c r="D8" s="61"/>
      <c r="E8" s="61"/>
      <c r="F8" s="61"/>
      <c r="G8" s="9" t="s">
        <v>8</v>
      </c>
      <c r="H8" s="1">
        <v>78</v>
      </c>
      <c r="I8" s="9">
        <v>2.25</v>
      </c>
      <c r="J8" s="5">
        <f t="shared" ref="J8:J15" si="0">H8*I8</f>
        <v>175.5</v>
      </c>
      <c r="L8" s="8"/>
      <c r="M8" s="42" t="s">
        <v>47</v>
      </c>
      <c r="N8" s="43"/>
      <c r="O8" s="43"/>
      <c r="P8" s="43"/>
      <c r="Q8" s="44"/>
      <c r="R8" s="93">
        <f>J50</f>
        <v>10128</v>
      </c>
      <c r="S8" s="92"/>
      <c r="T8" s="94"/>
    </row>
    <row r="9" spans="1:20" ht="15" thickBot="1" x14ac:dyDescent="0.35">
      <c r="B9" s="60" t="s">
        <v>18</v>
      </c>
      <c r="C9" s="61"/>
      <c r="D9" s="61"/>
      <c r="E9" s="61"/>
      <c r="F9" s="61"/>
      <c r="G9" s="10" t="s">
        <v>8</v>
      </c>
      <c r="H9" s="1">
        <v>3</v>
      </c>
      <c r="I9" s="10">
        <v>2.38</v>
      </c>
      <c r="J9" s="4">
        <f t="shared" si="0"/>
        <v>7.14</v>
      </c>
      <c r="L9" s="8"/>
      <c r="M9" s="42" t="s">
        <v>36</v>
      </c>
      <c r="N9" s="43"/>
      <c r="O9" s="43"/>
      <c r="P9" s="43"/>
      <c r="Q9" s="44"/>
      <c r="R9" s="93">
        <f>J55</f>
        <v>858</v>
      </c>
      <c r="S9" s="46"/>
      <c r="T9" s="47"/>
    </row>
    <row r="10" spans="1:20" ht="15" thickBot="1" x14ac:dyDescent="0.35">
      <c r="B10" s="60" t="s">
        <v>19</v>
      </c>
      <c r="C10" s="61"/>
      <c r="D10" s="61"/>
      <c r="E10" s="61"/>
      <c r="F10" s="61"/>
      <c r="G10" s="10" t="s">
        <v>8</v>
      </c>
      <c r="H10" s="1">
        <v>7</v>
      </c>
      <c r="I10" s="10">
        <v>17.190000000000001</v>
      </c>
      <c r="J10" s="4">
        <f t="shared" si="0"/>
        <v>120.33000000000001</v>
      </c>
      <c r="M10" s="132" t="s">
        <v>59</v>
      </c>
      <c r="N10" s="133"/>
      <c r="O10" s="133"/>
      <c r="P10" s="133"/>
      <c r="Q10" s="133"/>
      <c r="R10" s="134">
        <f>SUM(R5:T9)</f>
        <v>23796.173000000003</v>
      </c>
      <c r="S10" s="134"/>
      <c r="T10" s="135"/>
    </row>
    <row r="11" spans="1:20" ht="15" thickBot="1" x14ac:dyDescent="0.35">
      <c r="B11" s="60" t="s">
        <v>11</v>
      </c>
      <c r="C11" s="61"/>
      <c r="D11" s="61"/>
      <c r="E11" s="61"/>
      <c r="F11" s="61"/>
      <c r="G11" s="10" t="s">
        <v>8</v>
      </c>
      <c r="H11" s="1">
        <v>3</v>
      </c>
      <c r="I11" s="11">
        <v>55.18</v>
      </c>
      <c r="J11" s="3">
        <f t="shared" si="0"/>
        <v>165.54</v>
      </c>
      <c r="M11" s="129" t="s">
        <v>60</v>
      </c>
      <c r="N11" s="130"/>
      <c r="O11" s="130"/>
      <c r="P11" s="130"/>
      <c r="Q11" s="130"/>
      <c r="R11" s="136">
        <f>R10+R10*21/100</f>
        <v>28793.369330000001</v>
      </c>
      <c r="S11" s="136"/>
      <c r="T11" s="137"/>
    </row>
    <row r="12" spans="1:20" ht="15" thickBot="1" x14ac:dyDescent="0.35">
      <c r="B12" s="60" t="s">
        <v>20</v>
      </c>
      <c r="C12" s="61"/>
      <c r="D12" s="61"/>
      <c r="E12" s="61"/>
      <c r="F12" s="61"/>
      <c r="G12" s="10" t="s">
        <v>8</v>
      </c>
      <c r="H12" s="1">
        <v>8</v>
      </c>
      <c r="I12" s="10">
        <v>8</v>
      </c>
      <c r="J12" s="4">
        <f t="shared" si="0"/>
        <v>64</v>
      </c>
    </row>
    <row r="13" spans="1:20" x14ac:dyDescent="0.3">
      <c r="A13" s="8"/>
      <c r="B13" s="90" t="s">
        <v>46</v>
      </c>
      <c r="C13" s="91"/>
      <c r="D13" s="91"/>
      <c r="E13" s="91"/>
      <c r="F13" s="91"/>
      <c r="G13" s="10" t="s">
        <v>8</v>
      </c>
      <c r="H13" s="1">
        <v>3</v>
      </c>
      <c r="I13" s="10">
        <v>7.99</v>
      </c>
      <c r="J13" s="4">
        <f t="shared" si="0"/>
        <v>23.97</v>
      </c>
      <c r="M13" s="36" t="s">
        <v>61</v>
      </c>
      <c r="N13" s="36"/>
      <c r="O13" s="36"/>
      <c r="P13" s="36"/>
      <c r="Q13" s="36"/>
      <c r="R13" s="36"/>
      <c r="S13" s="36"/>
      <c r="T13" s="36"/>
    </row>
    <row r="14" spans="1:20" x14ac:dyDescent="0.3">
      <c r="A14" s="8"/>
      <c r="B14" s="60" t="s">
        <v>21</v>
      </c>
      <c r="C14" s="61"/>
      <c r="D14" s="61"/>
      <c r="E14" s="61"/>
      <c r="F14" s="61"/>
      <c r="G14" s="7" t="s">
        <v>8</v>
      </c>
      <c r="H14" s="23">
        <v>8</v>
      </c>
      <c r="I14" s="7">
        <v>1.83</v>
      </c>
      <c r="J14" s="6">
        <f t="shared" si="0"/>
        <v>14.64</v>
      </c>
      <c r="M14" s="37" t="s">
        <v>63</v>
      </c>
      <c r="N14" s="38"/>
      <c r="O14" s="38"/>
      <c r="P14" s="38"/>
      <c r="Q14" s="39"/>
      <c r="R14" s="40">
        <f>Cliente!R11</f>
        <v>37822.389330000005</v>
      </c>
      <c r="S14" s="40"/>
      <c r="T14" s="41"/>
    </row>
    <row r="15" spans="1:20" x14ac:dyDescent="0.3">
      <c r="B15" s="60" t="s">
        <v>9</v>
      </c>
      <c r="C15" s="61"/>
      <c r="D15" s="61"/>
      <c r="E15" s="61"/>
      <c r="F15" s="61"/>
      <c r="G15" s="10" t="s">
        <v>3</v>
      </c>
      <c r="H15" s="1">
        <v>19</v>
      </c>
      <c r="I15" s="11">
        <v>22</v>
      </c>
      <c r="J15" s="3">
        <f t="shared" si="0"/>
        <v>418</v>
      </c>
      <c r="M15" s="42" t="s">
        <v>62</v>
      </c>
      <c r="N15" s="43"/>
      <c r="O15" s="43"/>
      <c r="P15" s="43"/>
      <c r="Q15" s="44"/>
      <c r="R15" s="45">
        <f>-R11</f>
        <v>-28793.369330000001</v>
      </c>
      <c r="S15" s="46"/>
      <c r="T15" s="47"/>
    </row>
    <row r="16" spans="1:20" ht="15" thickBot="1" x14ac:dyDescent="0.35">
      <c r="B16" s="60" t="s">
        <v>13</v>
      </c>
      <c r="C16" s="61"/>
      <c r="D16" s="61"/>
      <c r="E16" s="61"/>
      <c r="F16" s="61"/>
      <c r="G16" s="10" t="s">
        <v>8</v>
      </c>
      <c r="H16" s="1">
        <v>1</v>
      </c>
      <c r="I16" s="10">
        <v>41.99</v>
      </c>
      <c r="J16" s="4">
        <v>41.99</v>
      </c>
      <c r="M16" s="51" t="s">
        <v>64</v>
      </c>
      <c r="N16" s="52"/>
      <c r="O16" s="52"/>
      <c r="P16" s="52"/>
      <c r="Q16" s="53"/>
      <c r="R16" s="34">
        <f>-300</f>
        <v>-300</v>
      </c>
      <c r="S16" s="34"/>
      <c r="T16" s="35"/>
    </row>
    <row r="17" spans="1:20" ht="15" thickBot="1" x14ac:dyDescent="0.35">
      <c r="B17" s="60" t="s">
        <v>14</v>
      </c>
      <c r="C17" s="61"/>
      <c r="D17" s="61"/>
      <c r="E17" s="61"/>
      <c r="F17" s="61"/>
      <c r="G17" s="10" t="s">
        <v>8</v>
      </c>
      <c r="H17" s="1">
        <v>38</v>
      </c>
      <c r="I17" s="10">
        <v>3.79</v>
      </c>
      <c r="J17" s="4">
        <f t="shared" ref="J17:J23" si="1">H17*I17</f>
        <v>144.02000000000001</v>
      </c>
      <c r="M17" s="138" t="s">
        <v>65</v>
      </c>
      <c r="N17" s="139"/>
      <c r="O17" s="139"/>
      <c r="P17" s="139"/>
      <c r="Q17" s="140"/>
      <c r="R17" s="141">
        <f>SUM(R14:T16)</f>
        <v>8729.0200000000041</v>
      </c>
      <c r="S17" s="142"/>
      <c r="T17" s="143"/>
    </row>
    <row r="18" spans="1:20" ht="15" thickBot="1" x14ac:dyDescent="0.35">
      <c r="B18" s="88" t="s">
        <v>12</v>
      </c>
      <c r="C18" s="89"/>
      <c r="D18" s="89"/>
      <c r="E18" s="89"/>
      <c r="F18" s="89"/>
      <c r="G18" s="10" t="s">
        <v>8</v>
      </c>
      <c r="H18" s="1">
        <v>112</v>
      </c>
      <c r="I18" s="11">
        <v>18</v>
      </c>
      <c r="J18" s="3">
        <f t="shared" si="1"/>
        <v>2016</v>
      </c>
      <c r="M18" s="144" t="s">
        <v>66</v>
      </c>
      <c r="N18" s="145"/>
      <c r="O18" s="145"/>
      <c r="P18" s="145"/>
      <c r="Q18" s="146"/>
      <c r="R18" s="147">
        <f>R17/R14*100</f>
        <v>23.078975587288745</v>
      </c>
      <c r="S18" s="148"/>
      <c r="T18" s="149"/>
    </row>
    <row r="19" spans="1:20" x14ac:dyDescent="0.3">
      <c r="B19" s="60" t="s">
        <v>15</v>
      </c>
      <c r="C19" s="61"/>
      <c r="D19" s="61"/>
      <c r="E19" s="61"/>
      <c r="F19" s="61"/>
      <c r="G19" s="10" t="s">
        <v>8</v>
      </c>
      <c r="H19" s="1">
        <v>135</v>
      </c>
      <c r="I19" s="10">
        <v>1.79</v>
      </c>
      <c r="J19" s="4">
        <f t="shared" si="1"/>
        <v>241.65</v>
      </c>
      <c r="M19" s="33"/>
      <c r="N19" s="33"/>
      <c r="O19" s="33"/>
      <c r="P19" s="33"/>
      <c r="Q19" s="33"/>
      <c r="R19" s="33"/>
      <c r="S19" s="33"/>
      <c r="T19" s="33"/>
    </row>
    <row r="20" spans="1:20" x14ac:dyDescent="0.3">
      <c r="B20" s="60" t="s">
        <v>16</v>
      </c>
      <c r="C20" s="61"/>
      <c r="D20" s="61"/>
      <c r="E20" s="61"/>
      <c r="F20" s="61"/>
      <c r="G20" s="10" t="s">
        <v>8</v>
      </c>
      <c r="H20" s="1">
        <v>11</v>
      </c>
      <c r="I20" s="11">
        <v>243</v>
      </c>
      <c r="J20" s="3">
        <f t="shared" si="1"/>
        <v>2673</v>
      </c>
      <c r="M20" s="33"/>
      <c r="N20" s="33"/>
      <c r="O20" s="33"/>
      <c r="P20" s="33"/>
      <c r="Q20" s="33"/>
      <c r="R20" s="33"/>
      <c r="S20" s="33"/>
      <c r="T20" s="33"/>
    </row>
    <row r="21" spans="1:20" x14ac:dyDescent="0.3">
      <c r="B21" s="60" t="s">
        <v>10</v>
      </c>
      <c r="C21" s="61"/>
      <c r="D21" s="61"/>
      <c r="E21" s="61"/>
      <c r="F21" s="61"/>
      <c r="G21" s="10" t="s">
        <v>8</v>
      </c>
      <c r="H21" s="1">
        <v>190</v>
      </c>
      <c r="I21" s="11">
        <v>2.59</v>
      </c>
      <c r="J21" s="3">
        <f t="shared" si="1"/>
        <v>492.09999999999997</v>
      </c>
    </row>
    <row r="22" spans="1:20" x14ac:dyDescent="0.3">
      <c r="A22" s="8"/>
      <c r="B22" s="62" t="s">
        <v>24</v>
      </c>
      <c r="C22" s="63"/>
      <c r="D22" s="63"/>
      <c r="E22" s="63"/>
      <c r="F22" s="64"/>
      <c r="G22" s="7" t="s">
        <v>8</v>
      </c>
      <c r="H22" s="23">
        <v>6</v>
      </c>
      <c r="I22" s="13">
        <v>110</v>
      </c>
      <c r="J22" s="12">
        <f t="shared" si="1"/>
        <v>660</v>
      </c>
    </row>
    <row r="23" spans="1:20" x14ac:dyDescent="0.3">
      <c r="B23" s="57" t="s">
        <v>41</v>
      </c>
      <c r="C23" s="58"/>
      <c r="D23" s="58"/>
      <c r="E23" s="58"/>
      <c r="F23" s="58"/>
      <c r="G23" s="1" t="s">
        <v>8</v>
      </c>
      <c r="H23" s="1">
        <v>3</v>
      </c>
      <c r="I23" s="11">
        <v>49.45</v>
      </c>
      <c r="J23" s="3">
        <f t="shared" si="1"/>
        <v>148.35000000000002</v>
      </c>
    </row>
    <row r="24" spans="1:20" x14ac:dyDescent="0.3">
      <c r="A24" s="8"/>
      <c r="B24" s="122" t="s">
        <v>2</v>
      </c>
      <c r="C24" s="122"/>
      <c r="D24" s="122"/>
      <c r="E24" s="122"/>
      <c r="F24" s="122"/>
      <c r="G24" s="122"/>
      <c r="H24" s="122"/>
      <c r="I24" s="122"/>
      <c r="J24" s="123">
        <f>SUM(J8:J23)</f>
        <v>7406.2300000000014</v>
      </c>
    </row>
    <row r="25" spans="1:20" x14ac:dyDescent="0.3">
      <c r="A25" s="8"/>
      <c r="B25" s="72" t="s">
        <v>23</v>
      </c>
      <c r="C25" s="72"/>
      <c r="D25" s="72"/>
      <c r="E25" s="72"/>
      <c r="F25" s="72"/>
      <c r="G25" s="72"/>
      <c r="H25" s="72"/>
      <c r="I25" s="72"/>
      <c r="J25" s="72"/>
    </row>
    <row r="26" spans="1:20" x14ac:dyDescent="0.3">
      <c r="A26" s="8"/>
      <c r="B26" s="65" t="s">
        <v>26</v>
      </c>
      <c r="C26" s="66"/>
      <c r="D26" s="66"/>
      <c r="E26" s="66"/>
      <c r="F26" s="67"/>
      <c r="G26" s="1" t="s">
        <v>3</v>
      </c>
      <c r="H26" s="1">
        <v>25.7</v>
      </c>
      <c r="I26" s="17">
        <v>7.59</v>
      </c>
      <c r="J26" s="18">
        <f>H26*I26</f>
        <v>195.06299999999999</v>
      </c>
    </row>
    <row r="27" spans="1:20" x14ac:dyDescent="0.3">
      <c r="A27" s="8"/>
      <c r="B27" s="65" t="s">
        <v>25</v>
      </c>
      <c r="C27" s="66"/>
      <c r="D27" s="66"/>
      <c r="E27" s="66"/>
      <c r="F27" s="67"/>
      <c r="G27" s="1" t="s">
        <v>8</v>
      </c>
      <c r="H27" s="1">
        <v>16</v>
      </c>
      <c r="I27" s="19">
        <v>2.95</v>
      </c>
      <c r="J27" s="20">
        <f>H27*I27</f>
        <v>47.2</v>
      </c>
    </row>
    <row r="28" spans="1:20" x14ac:dyDescent="0.3">
      <c r="A28" s="8"/>
      <c r="B28" s="107" t="s">
        <v>27</v>
      </c>
      <c r="C28" s="108"/>
      <c r="D28" s="108"/>
      <c r="E28" s="108"/>
      <c r="F28" s="109"/>
      <c r="G28" s="1" t="s">
        <v>8</v>
      </c>
      <c r="H28" s="1">
        <v>2</v>
      </c>
      <c r="I28" s="21">
        <v>24.2</v>
      </c>
      <c r="J28" s="22">
        <f>H28*I28</f>
        <v>48.4</v>
      </c>
    </row>
    <row r="29" spans="1:20" x14ac:dyDescent="0.3">
      <c r="B29" s="90" t="s">
        <v>10</v>
      </c>
      <c r="C29" s="91"/>
      <c r="D29" s="91"/>
      <c r="E29" s="91"/>
      <c r="F29" s="91"/>
      <c r="G29" s="23" t="s">
        <v>8</v>
      </c>
      <c r="H29" s="23">
        <v>8</v>
      </c>
      <c r="I29" s="15">
        <v>2.59</v>
      </c>
      <c r="J29" s="16">
        <f>H29*I29</f>
        <v>20.72</v>
      </c>
      <c r="K29" s="14"/>
    </row>
    <row r="30" spans="1:20" x14ac:dyDescent="0.3">
      <c r="A30" s="8"/>
      <c r="B30" s="122" t="s">
        <v>2</v>
      </c>
      <c r="C30" s="122"/>
      <c r="D30" s="122"/>
      <c r="E30" s="122"/>
      <c r="F30" s="122"/>
      <c r="G30" s="122"/>
      <c r="H30" s="122"/>
      <c r="I30" s="124"/>
      <c r="J30" s="125">
        <f>SUM(J26:J29)</f>
        <v>311.38299999999992</v>
      </c>
    </row>
    <row r="31" spans="1:20" x14ac:dyDescent="0.3">
      <c r="B31" s="106" t="s">
        <v>30</v>
      </c>
      <c r="C31" s="106"/>
      <c r="D31" s="106"/>
      <c r="E31" s="106"/>
      <c r="F31" s="106"/>
      <c r="G31" s="106"/>
      <c r="H31" s="106"/>
      <c r="I31" s="106"/>
      <c r="J31" s="106"/>
    </row>
    <row r="32" spans="1:20" x14ac:dyDescent="0.3">
      <c r="A32" s="8"/>
      <c r="B32" s="70" t="s">
        <v>43</v>
      </c>
      <c r="C32" s="70"/>
      <c r="D32" s="70"/>
      <c r="E32" s="70"/>
      <c r="F32" s="71"/>
      <c r="G32" s="24" t="s">
        <v>8</v>
      </c>
      <c r="H32" s="24">
        <v>2</v>
      </c>
      <c r="I32" s="25">
        <v>355</v>
      </c>
      <c r="J32" s="12">
        <f>H32*I32</f>
        <v>710</v>
      </c>
    </row>
    <row r="33" spans="1:10" x14ac:dyDescent="0.3">
      <c r="A33" s="8"/>
      <c r="B33" s="68" t="s">
        <v>32</v>
      </c>
      <c r="C33" s="68"/>
      <c r="D33" s="68"/>
      <c r="E33" s="68"/>
      <c r="F33" s="69"/>
      <c r="G33" s="1" t="s">
        <v>8</v>
      </c>
      <c r="H33" s="1">
        <v>1</v>
      </c>
      <c r="I33" s="2">
        <v>440</v>
      </c>
      <c r="J33" s="3">
        <f>H33*I33</f>
        <v>440</v>
      </c>
    </row>
    <row r="34" spans="1:10" x14ac:dyDescent="0.3">
      <c r="A34" s="8"/>
      <c r="B34" s="68" t="s">
        <v>28</v>
      </c>
      <c r="C34" s="68"/>
      <c r="D34" s="68"/>
      <c r="E34" s="68"/>
      <c r="F34" s="69"/>
      <c r="G34" s="1" t="s">
        <v>8</v>
      </c>
      <c r="H34" s="1">
        <v>3</v>
      </c>
      <c r="I34" s="2">
        <v>527.55999999999995</v>
      </c>
      <c r="J34" s="3">
        <f t="shared" ref="J34:J42" si="2">H34*I34</f>
        <v>1582.6799999999998</v>
      </c>
    </row>
    <row r="35" spans="1:10" x14ac:dyDescent="0.3">
      <c r="A35" s="8"/>
      <c r="B35" s="59" t="s">
        <v>42</v>
      </c>
      <c r="C35" s="59"/>
      <c r="D35" s="59"/>
      <c r="E35" s="59"/>
      <c r="F35" s="59"/>
      <c r="G35" s="1" t="s">
        <v>8</v>
      </c>
      <c r="H35" s="1">
        <v>2</v>
      </c>
      <c r="I35" s="2">
        <v>412.61</v>
      </c>
      <c r="J35" s="3">
        <f t="shared" si="2"/>
        <v>825.22</v>
      </c>
    </row>
    <row r="36" spans="1:10" x14ac:dyDescent="0.3">
      <c r="A36" s="8"/>
      <c r="B36" s="105" t="s">
        <v>33</v>
      </c>
      <c r="C36" s="68"/>
      <c r="D36" s="68"/>
      <c r="E36" s="68"/>
      <c r="F36" s="69"/>
      <c r="G36" s="1" t="s">
        <v>8</v>
      </c>
      <c r="H36" s="1">
        <v>2</v>
      </c>
      <c r="I36" s="2">
        <v>102.85</v>
      </c>
      <c r="J36" s="3">
        <f t="shared" si="2"/>
        <v>205.7</v>
      </c>
    </row>
    <row r="37" spans="1:10" x14ac:dyDescent="0.3">
      <c r="A37" s="8"/>
      <c r="B37" s="97" t="s">
        <v>29</v>
      </c>
      <c r="C37" s="97"/>
      <c r="D37" s="97"/>
      <c r="E37" s="97"/>
      <c r="F37" s="98"/>
      <c r="G37" s="1" t="s">
        <v>8</v>
      </c>
      <c r="H37" s="23">
        <v>2</v>
      </c>
      <c r="I37" s="26">
        <v>72.069999999999993</v>
      </c>
      <c r="J37" s="3">
        <f t="shared" si="2"/>
        <v>144.13999999999999</v>
      </c>
    </row>
    <row r="38" spans="1:10" x14ac:dyDescent="0.3">
      <c r="A38" s="8"/>
      <c r="B38" s="68" t="s">
        <v>44</v>
      </c>
      <c r="C38" s="68"/>
      <c r="D38" s="68"/>
      <c r="E38" s="68"/>
      <c r="F38" s="69"/>
      <c r="G38" s="1" t="s">
        <v>8</v>
      </c>
      <c r="H38" s="1">
        <v>2</v>
      </c>
      <c r="I38" s="2">
        <v>69.81</v>
      </c>
      <c r="J38" s="3">
        <f t="shared" si="2"/>
        <v>139.62</v>
      </c>
    </row>
    <row r="39" spans="1:10" x14ac:dyDescent="0.3">
      <c r="A39" s="8"/>
      <c r="B39" s="105" t="s">
        <v>35</v>
      </c>
      <c r="C39" s="68"/>
      <c r="D39" s="68"/>
      <c r="E39" s="68"/>
      <c r="F39" s="69"/>
      <c r="G39" s="1" t="s">
        <v>8</v>
      </c>
      <c r="H39" s="1">
        <v>4</v>
      </c>
      <c r="I39" s="2">
        <v>11.9</v>
      </c>
      <c r="J39" s="3">
        <f t="shared" si="2"/>
        <v>47.6</v>
      </c>
    </row>
    <row r="40" spans="1:10" x14ac:dyDescent="0.3">
      <c r="A40" s="8"/>
      <c r="B40" s="68" t="s">
        <v>31</v>
      </c>
      <c r="C40" s="68"/>
      <c r="D40" s="68"/>
      <c r="E40" s="68"/>
      <c r="F40" s="69"/>
      <c r="G40" s="1" t="s">
        <v>8</v>
      </c>
      <c r="H40" s="1">
        <v>2</v>
      </c>
      <c r="I40" s="2">
        <v>18</v>
      </c>
      <c r="J40" s="3">
        <f t="shared" si="2"/>
        <v>36</v>
      </c>
    </row>
    <row r="41" spans="1:10" x14ac:dyDescent="0.3">
      <c r="A41" s="8"/>
      <c r="B41" s="97" t="s">
        <v>34</v>
      </c>
      <c r="C41" s="97"/>
      <c r="D41" s="97"/>
      <c r="E41" s="97"/>
      <c r="F41" s="98"/>
      <c r="G41" s="24" t="s">
        <v>8</v>
      </c>
      <c r="H41" s="23">
        <v>2</v>
      </c>
      <c r="I41" s="26">
        <v>300</v>
      </c>
      <c r="J41" s="12">
        <f t="shared" si="2"/>
        <v>600</v>
      </c>
    </row>
    <row r="42" spans="1:10" x14ac:dyDescent="0.3">
      <c r="A42" s="8"/>
      <c r="B42" s="99" t="s">
        <v>45</v>
      </c>
      <c r="C42" s="100"/>
      <c r="D42" s="100"/>
      <c r="E42" s="100"/>
      <c r="F42" s="101"/>
      <c r="G42" s="24" t="s">
        <v>8</v>
      </c>
      <c r="H42" s="23">
        <v>4</v>
      </c>
      <c r="I42" s="26">
        <v>90.4</v>
      </c>
      <c r="J42" s="12">
        <f t="shared" si="2"/>
        <v>361.6</v>
      </c>
    </row>
    <row r="43" spans="1:10" x14ac:dyDescent="0.3">
      <c r="A43" s="8"/>
      <c r="B43" s="126" t="s">
        <v>2</v>
      </c>
      <c r="C43" s="127"/>
      <c r="D43" s="127"/>
      <c r="E43" s="127"/>
      <c r="F43" s="127"/>
      <c r="G43" s="127"/>
      <c r="H43" s="127"/>
      <c r="I43" s="127"/>
      <c r="J43" s="128">
        <f>SUM(J32:J42)</f>
        <v>5092.5599999999995</v>
      </c>
    </row>
    <row r="44" spans="1:10" x14ac:dyDescent="0.3">
      <c r="A44" s="8"/>
      <c r="B44" s="95" t="s">
        <v>51</v>
      </c>
      <c r="C44" s="96"/>
      <c r="D44" s="96"/>
      <c r="E44" s="96"/>
      <c r="F44" s="96"/>
      <c r="G44" s="96"/>
      <c r="H44" s="96"/>
      <c r="I44" s="96"/>
      <c r="J44" s="96"/>
    </row>
    <row r="45" spans="1:10" x14ac:dyDescent="0.3">
      <c r="A45" s="8"/>
      <c r="B45" s="54" t="s">
        <v>55</v>
      </c>
      <c r="C45" s="55"/>
      <c r="D45" s="55"/>
      <c r="E45" s="55"/>
      <c r="F45" s="55"/>
      <c r="G45" s="55"/>
      <c r="H45" s="55"/>
      <c r="I45" s="56"/>
      <c r="J45" s="3">
        <v>650</v>
      </c>
    </row>
    <row r="46" spans="1:10" x14ac:dyDescent="0.3">
      <c r="A46" s="8"/>
      <c r="B46" s="126" t="s">
        <v>2</v>
      </c>
      <c r="C46" s="127"/>
      <c r="D46" s="127"/>
      <c r="E46" s="127"/>
      <c r="F46" s="127"/>
      <c r="G46" s="127"/>
      <c r="H46" s="127"/>
      <c r="I46" s="127"/>
      <c r="J46" s="128">
        <f>SUM(J45:J45)</f>
        <v>650</v>
      </c>
    </row>
    <row r="47" spans="1:10" x14ac:dyDescent="0.3">
      <c r="A47" s="8"/>
      <c r="B47" s="95" t="s">
        <v>47</v>
      </c>
      <c r="C47" s="96"/>
      <c r="D47" s="96"/>
      <c r="E47" s="96"/>
      <c r="F47" s="96"/>
      <c r="G47" s="96"/>
      <c r="H47" s="96"/>
      <c r="I47" s="96"/>
      <c r="J47" s="96"/>
    </row>
    <row r="48" spans="1:10" x14ac:dyDescent="0.3">
      <c r="A48" s="8"/>
      <c r="B48" s="48" t="s">
        <v>49</v>
      </c>
      <c r="C48" s="49"/>
      <c r="D48" s="49"/>
      <c r="E48" s="49"/>
      <c r="F48" s="50"/>
      <c r="G48" s="1" t="s">
        <v>50</v>
      </c>
      <c r="H48" s="1">
        <v>336</v>
      </c>
      <c r="I48" s="1">
        <v>28</v>
      </c>
      <c r="J48" s="12">
        <f t="shared" ref="J48:J49" si="3">H48*I48</f>
        <v>9408</v>
      </c>
    </row>
    <row r="49" spans="1:10" x14ac:dyDescent="0.3">
      <c r="A49" s="8"/>
      <c r="B49" s="102" t="s">
        <v>48</v>
      </c>
      <c r="C49" s="103"/>
      <c r="D49" s="103"/>
      <c r="E49" s="103"/>
      <c r="F49" s="104"/>
      <c r="G49" s="32" t="s">
        <v>50</v>
      </c>
      <c r="H49" s="32">
        <v>40</v>
      </c>
      <c r="I49" s="31">
        <v>18</v>
      </c>
      <c r="J49" s="12">
        <f t="shared" si="3"/>
        <v>720</v>
      </c>
    </row>
    <row r="50" spans="1:10" x14ac:dyDescent="0.3">
      <c r="A50" s="8"/>
      <c r="B50" s="126" t="s">
        <v>2</v>
      </c>
      <c r="C50" s="127"/>
      <c r="D50" s="127"/>
      <c r="E50" s="127"/>
      <c r="F50" s="127"/>
      <c r="G50" s="127"/>
      <c r="H50" s="127"/>
      <c r="I50" s="127"/>
      <c r="J50" s="128">
        <f>SUM(J48:J49)</f>
        <v>10128</v>
      </c>
    </row>
    <row r="51" spans="1:10" x14ac:dyDescent="0.3">
      <c r="A51" s="8"/>
      <c r="B51" s="95" t="s">
        <v>36</v>
      </c>
      <c r="C51" s="96"/>
      <c r="D51" s="96"/>
      <c r="E51" s="96"/>
      <c r="F51" s="96"/>
      <c r="G51" s="96"/>
      <c r="H51" s="96"/>
      <c r="I51" s="96"/>
      <c r="J51" s="96"/>
    </row>
    <row r="52" spans="1:10" x14ac:dyDescent="0.3">
      <c r="A52" s="8"/>
      <c r="B52" s="48" t="s">
        <v>56</v>
      </c>
      <c r="C52" s="49"/>
      <c r="D52" s="49"/>
      <c r="E52" s="49"/>
      <c r="F52" s="49"/>
      <c r="G52" s="27" t="s">
        <v>58</v>
      </c>
      <c r="H52" s="27">
        <v>2</v>
      </c>
      <c r="I52" s="28">
        <v>180</v>
      </c>
      <c r="J52" s="12">
        <f t="shared" ref="J52:J53" si="4">H52*I52</f>
        <v>360</v>
      </c>
    </row>
    <row r="53" spans="1:10" x14ac:dyDescent="0.3">
      <c r="A53" s="8"/>
      <c r="B53" s="48" t="s">
        <v>47</v>
      </c>
      <c r="C53" s="49"/>
      <c r="D53" s="49"/>
      <c r="E53" s="49"/>
      <c r="F53" s="49"/>
      <c r="G53" s="27" t="s">
        <v>50</v>
      </c>
      <c r="H53" s="27">
        <v>16</v>
      </c>
      <c r="I53" s="28">
        <v>28</v>
      </c>
      <c r="J53" s="12">
        <f t="shared" si="4"/>
        <v>448</v>
      </c>
    </row>
    <row r="54" spans="1:10" x14ac:dyDescent="0.3">
      <c r="A54" s="8"/>
      <c r="B54" s="48" t="s">
        <v>57</v>
      </c>
      <c r="C54" s="49"/>
      <c r="D54" s="49"/>
      <c r="E54" s="49"/>
      <c r="F54" s="49"/>
      <c r="G54" s="49"/>
      <c r="H54" s="49"/>
      <c r="I54" s="50"/>
      <c r="J54" s="3">
        <v>50</v>
      </c>
    </row>
    <row r="55" spans="1:10" ht="15" thickBot="1" x14ac:dyDescent="0.35">
      <c r="A55" s="8"/>
      <c r="B55" s="129" t="s">
        <v>2</v>
      </c>
      <c r="C55" s="130"/>
      <c r="D55" s="130"/>
      <c r="E55" s="130"/>
      <c r="F55" s="130"/>
      <c r="G55" s="130"/>
      <c r="H55" s="130"/>
      <c r="I55" s="130"/>
      <c r="J55" s="131">
        <f>SUM(J52:J54)</f>
        <v>858</v>
      </c>
    </row>
  </sheetData>
  <mergeCells count="86">
    <mergeCell ref="B36:F36"/>
    <mergeCell ref="B43:I43"/>
    <mergeCell ref="B39:F39"/>
    <mergeCell ref="M5:Q5"/>
    <mergeCell ref="M6:Q6"/>
    <mergeCell ref="M7:Q7"/>
    <mergeCell ref="M9:Q9"/>
    <mergeCell ref="B31:J31"/>
    <mergeCell ref="B30:I30"/>
    <mergeCell ref="B25:J25"/>
    <mergeCell ref="B24:I24"/>
    <mergeCell ref="B27:F27"/>
    <mergeCell ref="B29:F29"/>
    <mergeCell ref="B28:F28"/>
    <mergeCell ref="I5:I6"/>
    <mergeCell ref="J5:J6"/>
    <mergeCell ref="B55:I55"/>
    <mergeCell ref="B42:F42"/>
    <mergeCell ref="B47:J47"/>
    <mergeCell ref="B49:F49"/>
    <mergeCell ref="B48:F48"/>
    <mergeCell ref="B50:I50"/>
    <mergeCell ref="B44:J44"/>
    <mergeCell ref="B51:J51"/>
    <mergeCell ref="B37:F37"/>
    <mergeCell ref="B38:F38"/>
    <mergeCell ref="B40:F40"/>
    <mergeCell ref="B41:F41"/>
    <mergeCell ref="M4:T4"/>
    <mergeCell ref="M10:Q10"/>
    <mergeCell ref="R10:T10"/>
    <mergeCell ref="R5:T5"/>
    <mergeCell ref="R6:T6"/>
    <mergeCell ref="R7:T7"/>
    <mergeCell ref="R9:T9"/>
    <mergeCell ref="M8:Q8"/>
    <mergeCell ref="R8:T8"/>
    <mergeCell ref="B4:F6"/>
    <mergeCell ref="G4:H4"/>
    <mergeCell ref="I4:J4"/>
    <mergeCell ref="B9:F9"/>
    <mergeCell ref="G5:G6"/>
    <mergeCell ref="H5:H6"/>
    <mergeCell ref="B8:F8"/>
    <mergeCell ref="B20:F20"/>
    <mergeCell ref="B21:F21"/>
    <mergeCell ref="B33:F33"/>
    <mergeCell ref="B32:F32"/>
    <mergeCell ref="B7:J7"/>
    <mergeCell ref="B15:F15"/>
    <mergeCell ref="B18:F18"/>
    <mergeCell ref="B13:F13"/>
    <mergeCell ref="B14:F14"/>
    <mergeCell ref="B10:F10"/>
    <mergeCell ref="B17:F17"/>
    <mergeCell ref="B12:F12"/>
    <mergeCell ref="B54:I54"/>
    <mergeCell ref="B53:F53"/>
    <mergeCell ref="B52:F52"/>
    <mergeCell ref="M11:Q11"/>
    <mergeCell ref="M16:Q16"/>
    <mergeCell ref="M19:Q19"/>
    <mergeCell ref="B46:I46"/>
    <mergeCell ref="B45:I45"/>
    <mergeCell ref="B23:F23"/>
    <mergeCell ref="B35:F35"/>
    <mergeCell ref="B11:F11"/>
    <mergeCell ref="B16:F16"/>
    <mergeCell ref="B19:F19"/>
    <mergeCell ref="B22:F22"/>
    <mergeCell ref="B26:F26"/>
    <mergeCell ref="B34:F34"/>
    <mergeCell ref="R11:T11"/>
    <mergeCell ref="M13:T13"/>
    <mergeCell ref="M14:Q14"/>
    <mergeCell ref="R14:T14"/>
    <mergeCell ref="M15:Q15"/>
    <mergeCell ref="R15:T15"/>
    <mergeCell ref="R19:T19"/>
    <mergeCell ref="M20:Q20"/>
    <mergeCell ref="R20:T20"/>
    <mergeCell ref="R16:T16"/>
    <mergeCell ref="M17:Q17"/>
    <mergeCell ref="R17:T17"/>
    <mergeCell ref="M18:Q18"/>
    <mergeCell ref="R18:T18"/>
  </mergeCells>
  <hyperlinks>
    <hyperlink ref="B15:F15" r:id="rId1" display="Rejiband 60x100 mm de 3 mts" xr:uid="{E95E9059-CC24-46BC-B0E5-D292214300DE}"/>
    <hyperlink ref="B21:F21" r:id="rId2" display="Canaleta 6x9 mm de 2 mts" xr:uid="{CA3EB07E-1C28-453F-91A7-057317CA15EC}"/>
    <hyperlink ref="B11:F11" r:id="rId3" display="Caja de pared con 4 elementos dobles y enchufes" xr:uid="{F5D6FE8C-963C-4EE3-B1F6-3EA5418068AF}"/>
    <hyperlink ref="B16:F16" r:id="rId4" display="Bolsa de 50 unidades de uniones para Rejiband" xr:uid="{641A40F9-D52A-42E8-93F7-95C7F8F7F570}"/>
    <hyperlink ref="B17:F17" r:id="rId5" display="Soportes para Rejiband" xr:uid="{3F053C6C-F9A6-4A2D-895C-C69470FF6225}"/>
    <hyperlink ref="B19:F19" r:id="rId6" display="Soportes para baldosas de 60mm" xr:uid="{04759344-73FC-4998-80EB-36F70B126213}"/>
    <hyperlink ref="B20:F20" r:id="rId7" display="Bobina de Cable F/UTP Cat 6 (305 mts)" xr:uid="{ED2401AA-6499-4F93-B555-9457B7BC0BF2}"/>
    <hyperlink ref="B8:F8" r:id="rId8" display="Roseta simple de CAT6 FTP" xr:uid="{B7814B6A-052C-419F-8244-E5F0E68428D1}"/>
    <hyperlink ref="B9:F9" r:id="rId9" display="Roseta doble de CAT6 FTP" xr:uid="{36237DA6-747A-4F62-83A2-5CC1A5AFC56E}"/>
    <hyperlink ref="B10:F10" r:id="rId10" display="Roseta de 4 puertos de CAT6 FTP" xr:uid="{D63BBF8E-D63F-441E-8F8D-49A3CD10217A}"/>
    <hyperlink ref="B12:F12" r:id="rId11" display="Conectores RJ-45 (Pack de 100)" xr:uid="{1F7E6A52-3BFC-418A-BAEB-1CC5218B13E4}"/>
    <hyperlink ref="B13:F13" r:id="rId12" display="Etiquetas" xr:uid="{300FA0B2-3884-4AE1-A022-BC682563C3D6}"/>
    <hyperlink ref="B14:F14" r:id="rId13" display="Bridas (Pack de 100)" xr:uid="{473E4023-F3D1-4C82-B2B9-3723A37D56F8}"/>
    <hyperlink ref="B22:F22" r:id="rId14" display="Punto de Acceso WiFi 7 2.5 GbE" xr:uid="{E8400AC3-B0F9-4F1A-9736-AC490E2E12BD}"/>
    <hyperlink ref="B26:F26" r:id="rId15" display="Fibra Óptica Multimodo OM4" xr:uid="{7D1793F1-504F-469A-9730-DC8C5FBEC153}"/>
    <hyperlink ref="B27:F27" r:id="rId16" location="closemodal" display="Conectores LC Multimodo OM4" xr:uid="{A36A7220-93FB-4E73-9C84-11EEE6979862}"/>
    <hyperlink ref="B29:F29" r:id="rId17" display="Canaleta 6x9 mm de 2 mts" xr:uid="{D2E8A710-9990-4CEE-AA85-B1593C9DDC95}"/>
    <hyperlink ref="B28:F28" r:id="rId18" display="Módulo transceptor óptico 10GBASE-SR" xr:uid="{748F0B03-A8AB-401F-BF61-BF85E7D6A007}"/>
    <hyperlink ref="B33:F33" r:id="rId19" display="Router Fortinet FG-60F-EU" xr:uid="{D9FF6078-8B93-4C93-B656-60049A69D54F}"/>
    <hyperlink ref="B32:F32" r:id="rId20" display="Armario 19U" xr:uid="{91096304-75A7-4749-A29D-7D99A73FC48B}"/>
    <hyperlink ref="B36:F36" r:id="rId21" display="Bandeja de Fibra Óptica" xr:uid="{41D11C5E-AE1E-4F67-BA33-FF6CECA9E2B0}"/>
    <hyperlink ref="B37:F37" r:id="rId22" display="Patch Panel 48 Puertos" xr:uid="{C187DDE2-7C6A-4AAA-93A7-9857829B2D3D}"/>
    <hyperlink ref="B38:F38" r:id="rId23" display="Patch Panel 16 Puertos" xr:uid="{30ED9596-C995-48D2-AA51-6D8D2AD4947D}"/>
    <hyperlink ref="B40:F40" r:id="rId24" display="Regleta (PDU)" xr:uid="{B0A9F3D1-A178-4179-9E0B-66B561A766E0}"/>
    <hyperlink ref="B41:F41" r:id="rId25" display="SAI CyberPower 1000VA  Rackmount" xr:uid="{D778A928-B52F-415A-A703-78398D4E4085}"/>
    <hyperlink ref="B39:F39" r:id="rId26" display="Bandeja Portacables 1U" xr:uid="{D78067FB-C564-43A1-B3CB-EBF01E50D443}"/>
    <hyperlink ref="B23:F23" r:id="rId27" display="Cámara para exteriores IP Reolink P320" xr:uid="{495A5047-2B9D-4193-99DB-A87AB8E0636F}"/>
    <hyperlink ref="B35:F35" r:id="rId28" display="Switch 16 Puertos PoE+" xr:uid="{094959E3-E6F8-4C1F-ACEE-68E455704C91}"/>
    <hyperlink ref="B34:F34" r:id="rId29" display="Switch 48 Puertos" xr:uid="{8C88E48B-BCBB-4C0D-936B-1AD15E12AA12}"/>
    <hyperlink ref="B42:F42" r:id="rId30" display="Panel Ventilación 230V Rack 19'" xr:uid="{B3715B63-BA5D-413D-9D9E-7B619E2ECC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D87E-959A-4440-A7C6-DCF7DFD1C038}">
  <dimension ref="A2:T58"/>
  <sheetViews>
    <sheetView zoomScaleNormal="100" workbookViewId="0">
      <selection activeCell="Q21" sqref="Q21"/>
    </sheetView>
  </sheetViews>
  <sheetFormatPr baseColWidth="10" defaultColWidth="8.88671875" defaultRowHeight="14.4" x14ac:dyDescent="0.3"/>
  <cols>
    <col min="10" max="10" width="13.77734375" customWidth="1"/>
  </cols>
  <sheetData>
    <row r="2" spans="1:20" ht="15" customHeight="1" x14ac:dyDescent="0.3"/>
    <row r="3" spans="1:20" ht="14.4" customHeight="1" thickBot="1" x14ac:dyDescent="0.35"/>
    <row r="4" spans="1:20" x14ac:dyDescent="0.3">
      <c r="B4" s="73" t="s">
        <v>4</v>
      </c>
      <c r="C4" s="74"/>
      <c r="D4" s="74"/>
      <c r="E4" s="74"/>
      <c r="F4" s="75"/>
      <c r="G4" s="82" t="s">
        <v>0</v>
      </c>
      <c r="H4" s="83"/>
      <c r="I4" s="84" t="s">
        <v>1</v>
      </c>
      <c r="J4" s="85"/>
      <c r="M4" s="36" t="s">
        <v>40</v>
      </c>
      <c r="N4" s="36"/>
      <c r="O4" s="36"/>
      <c r="P4" s="36"/>
      <c r="Q4" s="36"/>
      <c r="R4" s="36"/>
      <c r="S4" s="36"/>
      <c r="T4" s="36"/>
    </row>
    <row r="5" spans="1:20" x14ac:dyDescent="0.3">
      <c r="B5" s="76"/>
      <c r="C5" s="77"/>
      <c r="D5" s="77"/>
      <c r="E5" s="77"/>
      <c r="F5" s="78"/>
      <c r="G5" s="86" t="s">
        <v>5</v>
      </c>
      <c r="H5" s="87" t="s">
        <v>6</v>
      </c>
      <c r="I5" s="86" t="s">
        <v>7</v>
      </c>
      <c r="J5" s="110" t="s">
        <v>2</v>
      </c>
      <c r="M5" s="37" t="s">
        <v>22</v>
      </c>
      <c r="N5" s="38"/>
      <c r="O5" s="38"/>
      <c r="P5" s="38"/>
      <c r="Q5" s="39"/>
      <c r="R5" s="46">
        <f>J24</f>
        <v>7406.2300000000014</v>
      </c>
      <c r="S5" s="46"/>
      <c r="T5" s="47"/>
    </row>
    <row r="6" spans="1:20" x14ac:dyDescent="0.3">
      <c r="B6" s="79"/>
      <c r="C6" s="80"/>
      <c r="D6" s="80"/>
      <c r="E6" s="80"/>
      <c r="F6" s="81"/>
      <c r="G6" s="86"/>
      <c r="H6" s="87"/>
      <c r="I6" s="86"/>
      <c r="J6" s="110"/>
      <c r="M6" s="42" t="s">
        <v>23</v>
      </c>
      <c r="N6" s="43"/>
      <c r="O6" s="43"/>
      <c r="P6" s="43"/>
      <c r="Q6" s="44"/>
      <c r="R6" s="45">
        <f>J30</f>
        <v>311.38299999999992</v>
      </c>
      <c r="S6" s="46"/>
      <c r="T6" s="47"/>
    </row>
    <row r="7" spans="1:20" x14ac:dyDescent="0.3">
      <c r="B7" s="72" t="s">
        <v>22</v>
      </c>
      <c r="C7" s="72"/>
      <c r="D7" s="72"/>
      <c r="E7" s="72"/>
      <c r="F7" s="72"/>
      <c r="G7" s="72"/>
      <c r="H7" s="72"/>
      <c r="I7" s="72"/>
      <c r="J7" s="72"/>
      <c r="M7" s="42" t="s">
        <v>30</v>
      </c>
      <c r="N7" s="43"/>
      <c r="O7" s="43"/>
      <c r="P7" s="43"/>
      <c r="Q7" s="44"/>
      <c r="R7" s="92">
        <f>J43</f>
        <v>5092.5599999999995</v>
      </c>
      <c r="S7" s="46"/>
      <c r="T7" s="47"/>
    </row>
    <row r="8" spans="1:20" x14ac:dyDescent="0.3">
      <c r="A8" s="8"/>
      <c r="B8" s="60" t="s">
        <v>17</v>
      </c>
      <c r="C8" s="61"/>
      <c r="D8" s="61"/>
      <c r="E8" s="61"/>
      <c r="F8" s="61"/>
      <c r="G8" s="9" t="s">
        <v>8</v>
      </c>
      <c r="H8" s="1">
        <v>78</v>
      </c>
      <c r="I8" s="9">
        <v>2.25</v>
      </c>
      <c r="J8" s="5">
        <f t="shared" ref="J8:J15" si="0">H8*I8</f>
        <v>175.5</v>
      </c>
      <c r="L8" s="8"/>
      <c r="M8" s="42" t="s">
        <v>47</v>
      </c>
      <c r="N8" s="43"/>
      <c r="O8" s="43"/>
      <c r="P8" s="43"/>
      <c r="Q8" s="44"/>
      <c r="R8" s="93">
        <f>J52</f>
        <v>16720</v>
      </c>
      <c r="S8" s="92"/>
      <c r="T8" s="94"/>
    </row>
    <row r="9" spans="1:20" ht="15" thickBot="1" x14ac:dyDescent="0.35">
      <c r="B9" s="60" t="s">
        <v>18</v>
      </c>
      <c r="C9" s="61"/>
      <c r="D9" s="61"/>
      <c r="E9" s="61"/>
      <c r="F9" s="61"/>
      <c r="G9" s="10" t="s">
        <v>8</v>
      </c>
      <c r="H9" s="1">
        <v>3</v>
      </c>
      <c r="I9" s="10">
        <v>2.38</v>
      </c>
      <c r="J9" s="4">
        <f t="shared" si="0"/>
        <v>7.14</v>
      </c>
      <c r="L9" s="8"/>
      <c r="M9" s="119" t="s">
        <v>36</v>
      </c>
      <c r="N9" s="120"/>
      <c r="O9" s="120"/>
      <c r="P9" s="120"/>
      <c r="Q9" s="121"/>
      <c r="R9" s="152">
        <f>J57</f>
        <v>1728</v>
      </c>
      <c r="S9" s="153"/>
      <c r="T9" s="154"/>
    </row>
    <row r="10" spans="1:20" ht="15" thickBot="1" x14ac:dyDescent="0.35">
      <c r="B10" s="60" t="s">
        <v>19</v>
      </c>
      <c r="C10" s="61"/>
      <c r="D10" s="61"/>
      <c r="E10" s="61"/>
      <c r="F10" s="61"/>
      <c r="G10" s="10" t="s">
        <v>8</v>
      </c>
      <c r="H10" s="1">
        <v>7</v>
      </c>
      <c r="I10" s="10">
        <v>17.190000000000001</v>
      </c>
      <c r="J10" s="4">
        <f t="shared" si="0"/>
        <v>120.33000000000001</v>
      </c>
      <c r="M10" s="132" t="s">
        <v>59</v>
      </c>
      <c r="N10" s="133"/>
      <c r="O10" s="133"/>
      <c r="P10" s="133"/>
      <c r="Q10" s="156"/>
      <c r="R10" s="155">
        <f>SUM(R5:T9)</f>
        <v>31258.173000000003</v>
      </c>
      <c r="S10" s="136"/>
      <c r="T10" s="137"/>
    </row>
    <row r="11" spans="1:20" ht="15" thickBot="1" x14ac:dyDescent="0.35">
      <c r="B11" s="60" t="s">
        <v>11</v>
      </c>
      <c r="C11" s="61"/>
      <c r="D11" s="61"/>
      <c r="E11" s="61"/>
      <c r="F11" s="61"/>
      <c r="G11" s="10" t="s">
        <v>8</v>
      </c>
      <c r="H11" s="1">
        <v>3</v>
      </c>
      <c r="I11" s="11">
        <v>55.18</v>
      </c>
      <c r="J11" s="3">
        <f t="shared" si="0"/>
        <v>165.54</v>
      </c>
      <c r="M11" s="129" t="s">
        <v>60</v>
      </c>
      <c r="N11" s="130"/>
      <c r="O11" s="130"/>
      <c r="P11" s="130"/>
      <c r="Q11" s="157"/>
      <c r="R11" s="155">
        <f>R10+R10*21/100</f>
        <v>37822.389330000005</v>
      </c>
      <c r="S11" s="136"/>
      <c r="T11" s="137"/>
    </row>
    <row r="12" spans="1:20" x14ac:dyDescent="0.3">
      <c r="B12" s="60" t="s">
        <v>20</v>
      </c>
      <c r="C12" s="61"/>
      <c r="D12" s="61"/>
      <c r="E12" s="61"/>
      <c r="F12" s="61"/>
      <c r="G12" s="10" t="s">
        <v>8</v>
      </c>
      <c r="H12" s="1">
        <v>8</v>
      </c>
      <c r="I12" s="10">
        <v>8</v>
      </c>
      <c r="J12" s="4">
        <f t="shared" si="0"/>
        <v>64</v>
      </c>
    </row>
    <row r="13" spans="1:20" x14ac:dyDescent="0.3">
      <c r="A13" s="8"/>
      <c r="B13" s="90" t="s">
        <v>46</v>
      </c>
      <c r="C13" s="91"/>
      <c r="D13" s="91"/>
      <c r="E13" s="91"/>
      <c r="F13" s="91"/>
      <c r="G13" s="10" t="s">
        <v>8</v>
      </c>
      <c r="H13" s="1">
        <v>3</v>
      </c>
      <c r="I13" s="10">
        <v>7.99</v>
      </c>
      <c r="J13" s="4">
        <f t="shared" si="0"/>
        <v>23.97</v>
      </c>
    </row>
    <row r="14" spans="1:20" x14ac:dyDescent="0.3">
      <c r="A14" s="8"/>
      <c r="B14" s="60" t="s">
        <v>21</v>
      </c>
      <c r="C14" s="61"/>
      <c r="D14" s="61"/>
      <c r="E14" s="61"/>
      <c r="F14" s="61"/>
      <c r="G14" s="7" t="s">
        <v>8</v>
      </c>
      <c r="H14" s="23">
        <v>8</v>
      </c>
      <c r="I14" s="7">
        <v>1.83</v>
      </c>
      <c r="J14" s="6">
        <f t="shared" si="0"/>
        <v>14.64</v>
      </c>
    </row>
    <row r="15" spans="1:20" x14ac:dyDescent="0.3">
      <c r="B15" s="60" t="s">
        <v>9</v>
      </c>
      <c r="C15" s="61"/>
      <c r="D15" s="61"/>
      <c r="E15" s="61"/>
      <c r="F15" s="61"/>
      <c r="G15" s="10" t="s">
        <v>3</v>
      </c>
      <c r="H15" s="1">
        <v>19</v>
      </c>
      <c r="I15" s="11">
        <v>22</v>
      </c>
      <c r="J15" s="3">
        <f t="shared" si="0"/>
        <v>418</v>
      </c>
    </row>
    <row r="16" spans="1:20" x14ac:dyDescent="0.3">
      <c r="B16" s="60" t="s">
        <v>13</v>
      </c>
      <c r="C16" s="61"/>
      <c r="D16" s="61"/>
      <c r="E16" s="61"/>
      <c r="F16" s="61"/>
      <c r="G16" s="10" t="s">
        <v>8</v>
      </c>
      <c r="H16" s="1">
        <v>1</v>
      </c>
      <c r="I16" s="10">
        <v>41.99</v>
      </c>
      <c r="J16" s="4">
        <v>41.99</v>
      </c>
    </row>
    <row r="17" spans="1:11" x14ac:dyDescent="0.3">
      <c r="B17" s="60" t="s">
        <v>14</v>
      </c>
      <c r="C17" s="61"/>
      <c r="D17" s="61"/>
      <c r="E17" s="61"/>
      <c r="F17" s="61"/>
      <c r="G17" s="10" t="s">
        <v>8</v>
      </c>
      <c r="H17" s="1">
        <v>38</v>
      </c>
      <c r="I17" s="10">
        <v>3.79</v>
      </c>
      <c r="J17" s="4">
        <f t="shared" ref="J17:J23" si="1">H17*I17</f>
        <v>144.02000000000001</v>
      </c>
    </row>
    <row r="18" spans="1:11" x14ac:dyDescent="0.3">
      <c r="B18" s="88" t="s">
        <v>12</v>
      </c>
      <c r="C18" s="89"/>
      <c r="D18" s="89"/>
      <c r="E18" s="89"/>
      <c r="F18" s="89"/>
      <c r="G18" s="10" t="s">
        <v>8</v>
      </c>
      <c r="H18" s="1">
        <v>112</v>
      </c>
      <c r="I18" s="11">
        <v>18</v>
      </c>
      <c r="J18" s="3">
        <f t="shared" si="1"/>
        <v>2016</v>
      </c>
    </row>
    <row r="19" spans="1:11" x14ac:dyDescent="0.3">
      <c r="B19" s="60" t="s">
        <v>15</v>
      </c>
      <c r="C19" s="61"/>
      <c r="D19" s="61"/>
      <c r="E19" s="61"/>
      <c r="F19" s="61"/>
      <c r="G19" s="10" t="s">
        <v>8</v>
      </c>
      <c r="H19" s="1">
        <v>135</v>
      </c>
      <c r="I19" s="10">
        <v>1.79</v>
      </c>
      <c r="J19" s="4">
        <f t="shared" si="1"/>
        <v>241.65</v>
      </c>
    </row>
    <row r="20" spans="1:11" x14ac:dyDescent="0.3">
      <c r="B20" s="60" t="s">
        <v>16</v>
      </c>
      <c r="C20" s="61"/>
      <c r="D20" s="61"/>
      <c r="E20" s="61"/>
      <c r="F20" s="61"/>
      <c r="G20" s="10" t="s">
        <v>8</v>
      </c>
      <c r="H20" s="1">
        <v>11</v>
      </c>
      <c r="I20" s="11">
        <v>243</v>
      </c>
      <c r="J20" s="3">
        <f t="shared" si="1"/>
        <v>2673</v>
      </c>
    </row>
    <row r="21" spans="1:11" x14ac:dyDescent="0.3">
      <c r="B21" s="60" t="s">
        <v>10</v>
      </c>
      <c r="C21" s="61"/>
      <c r="D21" s="61"/>
      <c r="E21" s="61"/>
      <c r="F21" s="61"/>
      <c r="G21" s="10" t="s">
        <v>8</v>
      </c>
      <c r="H21" s="1">
        <v>190</v>
      </c>
      <c r="I21" s="11">
        <v>2.59</v>
      </c>
      <c r="J21" s="3">
        <f t="shared" si="1"/>
        <v>492.09999999999997</v>
      </c>
    </row>
    <row r="22" spans="1:11" x14ac:dyDescent="0.3">
      <c r="A22" s="8"/>
      <c r="B22" s="62" t="s">
        <v>24</v>
      </c>
      <c r="C22" s="63"/>
      <c r="D22" s="63"/>
      <c r="E22" s="63"/>
      <c r="F22" s="64"/>
      <c r="G22" s="7" t="s">
        <v>8</v>
      </c>
      <c r="H22" s="23">
        <v>6</v>
      </c>
      <c r="I22" s="13">
        <v>110</v>
      </c>
      <c r="J22" s="12">
        <f t="shared" si="1"/>
        <v>660</v>
      </c>
    </row>
    <row r="23" spans="1:11" x14ac:dyDescent="0.3">
      <c r="B23" s="57" t="s">
        <v>41</v>
      </c>
      <c r="C23" s="58"/>
      <c r="D23" s="58"/>
      <c r="E23" s="58"/>
      <c r="F23" s="58"/>
      <c r="G23" s="1" t="s">
        <v>8</v>
      </c>
      <c r="H23" s="1">
        <v>3</v>
      </c>
      <c r="I23" s="11">
        <v>49.45</v>
      </c>
      <c r="J23" s="3">
        <f t="shared" si="1"/>
        <v>148.35000000000002</v>
      </c>
    </row>
    <row r="24" spans="1:11" x14ac:dyDescent="0.3">
      <c r="A24" s="8"/>
      <c r="B24" s="122" t="s">
        <v>2</v>
      </c>
      <c r="C24" s="122"/>
      <c r="D24" s="122"/>
      <c r="E24" s="122"/>
      <c r="F24" s="122"/>
      <c r="G24" s="122"/>
      <c r="H24" s="122"/>
      <c r="I24" s="122"/>
      <c r="J24" s="123">
        <f>SUM(J8:J23)</f>
        <v>7406.2300000000014</v>
      </c>
    </row>
    <row r="25" spans="1:11" x14ac:dyDescent="0.3">
      <c r="A25" s="8"/>
      <c r="B25" s="72" t="s">
        <v>23</v>
      </c>
      <c r="C25" s="72"/>
      <c r="D25" s="72"/>
      <c r="E25" s="72"/>
      <c r="F25" s="72"/>
      <c r="G25" s="72"/>
      <c r="H25" s="72"/>
      <c r="I25" s="72"/>
      <c r="J25" s="72"/>
    </row>
    <row r="26" spans="1:11" x14ac:dyDescent="0.3">
      <c r="A26" s="8"/>
      <c r="B26" s="65" t="s">
        <v>26</v>
      </c>
      <c r="C26" s="66"/>
      <c r="D26" s="66"/>
      <c r="E26" s="66"/>
      <c r="F26" s="67"/>
      <c r="G26" s="1" t="s">
        <v>3</v>
      </c>
      <c r="H26" s="1">
        <v>25.7</v>
      </c>
      <c r="I26" s="17">
        <v>7.59</v>
      </c>
      <c r="J26" s="18">
        <f>H26*I26</f>
        <v>195.06299999999999</v>
      </c>
    </row>
    <row r="27" spans="1:11" x14ac:dyDescent="0.3">
      <c r="A27" s="8"/>
      <c r="B27" s="65" t="s">
        <v>25</v>
      </c>
      <c r="C27" s="66"/>
      <c r="D27" s="66"/>
      <c r="E27" s="66"/>
      <c r="F27" s="67"/>
      <c r="G27" s="1" t="s">
        <v>8</v>
      </c>
      <c r="H27" s="1">
        <v>16</v>
      </c>
      <c r="I27" s="19">
        <v>2.95</v>
      </c>
      <c r="J27" s="20">
        <f>H27*I27</f>
        <v>47.2</v>
      </c>
    </row>
    <row r="28" spans="1:11" x14ac:dyDescent="0.3">
      <c r="A28" s="8"/>
      <c r="B28" s="107" t="s">
        <v>27</v>
      </c>
      <c r="C28" s="108"/>
      <c r="D28" s="108"/>
      <c r="E28" s="108"/>
      <c r="F28" s="109"/>
      <c r="G28" s="1" t="s">
        <v>8</v>
      </c>
      <c r="H28" s="1">
        <v>2</v>
      </c>
      <c r="I28" s="21">
        <v>24.2</v>
      </c>
      <c r="J28" s="22">
        <f>H28*I28</f>
        <v>48.4</v>
      </c>
    </row>
    <row r="29" spans="1:11" x14ac:dyDescent="0.3">
      <c r="B29" s="90" t="s">
        <v>10</v>
      </c>
      <c r="C29" s="91"/>
      <c r="D29" s="91"/>
      <c r="E29" s="91"/>
      <c r="F29" s="91"/>
      <c r="G29" s="23" t="s">
        <v>8</v>
      </c>
      <c r="H29" s="23">
        <v>8</v>
      </c>
      <c r="I29" s="15">
        <v>2.59</v>
      </c>
      <c r="J29" s="16">
        <f>H29*I29</f>
        <v>20.72</v>
      </c>
      <c r="K29" s="14"/>
    </row>
    <row r="30" spans="1:11" x14ac:dyDescent="0.3">
      <c r="A30" s="8"/>
      <c r="B30" s="122" t="s">
        <v>2</v>
      </c>
      <c r="C30" s="122"/>
      <c r="D30" s="122"/>
      <c r="E30" s="122"/>
      <c r="F30" s="122"/>
      <c r="G30" s="122"/>
      <c r="H30" s="122"/>
      <c r="I30" s="124"/>
      <c r="J30" s="125">
        <f>SUM(J26:J29)</f>
        <v>311.38299999999992</v>
      </c>
    </row>
    <row r="31" spans="1:11" x14ac:dyDescent="0.3">
      <c r="B31" s="106" t="s">
        <v>30</v>
      </c>
      <c r="C31" s="106"/>
      <c r="D31" s="106"/>
      <c r="E31" s="106"/>
      <c r="F31" s="106"/>
      <c r="G31" s="106"/>
      <c r="H31" s="106"/>
      <c r="I31" s="106"/>
      <c r="J31" s="106"/>
    </row>
    <row r="32" spans="1:11" x14ac:dyDescent="0.3">
      <c r="A32" s="8"/>
      <c r="B32" s="70" t="s">
        <v>43</v>
      </c>
      <c r="C32" s="70"/>
      <c r="D32" s="70"/>
      <c r="E32" s="70"/>
      <c r="F32" s="71"/>
      <c r="G32" s="24" t="s">
        <v>8</v>
      </c>
      <c r="H32" s="24">
        <v>2</v>
      </c>
      <c r="I32" s="25">
        <v>355</v>
      </c>
      <c r="J32" s="12">
        <f>H32*I32</f>
        <v>710</v>
      </c>
    </row>
    <row r="33" spans="1:10" x14ac:dyDescent="0.3">
      <c r="A33" s="8"/>
      <c r="B33" s="68" t="s">
        <v>32</v>
      </c>
      <c r="C33" s="68"/>
      <c r="D33" s="68"/>
      <c r="E33" s="68"/>
      <c r="F33" s="69"/>
      <c r="G33" s="1" t="s">
        <v>8</v>
      </c>
      <c r="H33" s="1">
        <v>1</v>
      </c>
      <c r="I33" s="2">
        <v>440</v>
      </c>
      <c r="J33" s="3">
        <f>H33*I33</f>
        <v>440</v>
      </c>
    </row>
    <row r="34" spans="1:10" x14ac:dyDescent="0.3">
      <c r="A34" s="8"/>
      <c r="B34" s="68" t="s">
        <v>28</v>
      </c>
      <c r="C34" s="68"/>
      <c r="D34" s="68"/>
      <c r="E34" s="68"/>
      <c r="F34" s="69"/>
      <c r="G34" s="1" t="s">
        <v>8</v>
      </c>
      <c r="H34" s="1">
        <v>3</v>
      </c>
      <c r="I34" s="2">
        <v>527.55999999999995</v>
      </c>
      <c r="J34" s="3">
        <f t="shared" ref="J34:J42" si="2">H34*I34</f>
        <v>1582.6799999999998</v>
      </c>
    </row>
    <row r="35" spans="1:10" x14ac:dyDescent="0.3">
      <c r="A35" s="8"/>
      <c r="B35" s="59" t="s">
        <v>42</v>
      </c>
      <c r="C35" s="59"/>
      <c r="D35" s="59"/>
      <c r="E35" s="59"/>
      <c r="F35" s="59"/>
      <c r="G35" s="1" t="s">
        <v>8</v>
      </c>
      <c r="H35" s="1">
        <v>2</v>
      </c>
      <c r="I35" s="2">
        <v>412.61</v>
      </c>
      <c r="J35" s="3">
        <f t="shared" si="2"/>
        <v>825.22</v>
      </c>
    </row>
    <row r="36" spans="1:10" x14ac:dyDescent="0.3">
      <c r="A36" s="8"/>
      <c r="B36" s="105" t="s">
        <v>33</v>
      </c>
      <c r="C36" s="68"/>
      <c r="D36" s="68"/>
      <c r="E36" s="68"/>
      <c r="F36" s="69"/>
      <c r="G36" s="1" t="s">
        <v>8</v>
      </c>
      <c r="H36" s="1">
        <v>2</v>
      </c>
      <c r="I36" s="2">
        <v>102.85</v>
      </c>
      <c r="J36" s="3">
        <f t="shared" si="2"/>
        <v>205.7</v>
      </c>
    </row>
    <row r="37" spans="1:10" x14ac:dyDescent="0.3">
      <c r="A37" s="8"/>
      <c r="B37" s="97" t="s">
        <v>29</v>
      </c>
      <c r="C37" s="97"/>
      <c r="D37" s="97"/>
      <c r="E37" s="97"/>
      <c r="F37" s="98"/>
      <c r="G37" s="1" t="s">
        <v>8</v>
      </c>
      <c r="H37" s="23">
        <v>2</v>
      </c>
      <c r="I37" s="26">
        <v>72.069999999999993</v>
      </c>
      <c r="J37" s="3">
        <f t="shared" si="2"/>
        <v>144.13999999999999</v>
      </c>
    </row>
    <row r="38" spans="1:10" x14ac:dyDescent="0.3">
      <c r="A38" s="8"/>
      <c r="B38" s="68" t="s">
        <v>44</v>
      </c>
      <c r="C38" s="68"/>
      <c r="D38" s="68"/>
      <c r="E38" s="68"/>
      <c r="F38" s="69"/>
      <c r="G38" s="1" t="s">
        <v>8</v>
      </c>
      <c r="H38" s="1">
        <v>2</v>
      </c>
      <c r="I38" s="2">
        <v>69.81</v>
      </c>
      <c r="J38" s="3">
        <f t="shared" si="2"/>
        <v>139.62</v>
      </c>
    </row>
    <row r="39" spans="1:10" x14ac:dyDescent="0.3">
      <c r="A39" s="8"/>
      <c r="B39" s="105" t="s">
        <v>35</v>
      </c>
      <c r="C39" s="68"/>
      <c r="D39" s="68"/>
      <c r="E39" s="68"/>
      <c r="F39" s="69"/>
      <c r="G39" s="1" t="s">
        <v>8</v>
      </c>
      <c r="H39" s="1">
        <v>4</v>
      </c>
      <c r="I39" s="2">
        <v>11.9</v>
      </c>
      <c r="J39" s="3">
        <f t="shared" si="2"/>
        <v>47.6</v>
      </c>
    </row>
    <row r="40" spans="1:10" x14ac:dyDescent="0.3">
      <c r="A40" s="8"/>
      <c r="B40" s="68" t="s">
        <v>31</v>
      </c>
      <c r="C40" s="68"/>
      <c r="D40" s="68"/>
      <c r="E40" s="68"/>
      <c r="F40" s="69"/>
      <c r="G40" s="1" t="s">
        <v>8</v>
      </c>
      <c r="H40" s="1">
        <v>2</v>
      </c>
      <c r="I40" s="2">
        <v>18</v>
      </c>
      <c r="J40" s="3">
        <f t="shared" si="2"/>
        <v>36</v>
      </c>
    </row>
    <row r="41" spans="1:10" x14ac:dyDescent="0.3">
      <c r="A41" s="8"/>
      <c r="B41" s="97" t="s">
        <v>34</v>
      </c>
      <c r="C41" s="97"/>
      <c r="D41" s="97"/>
      <c r="E41" s="97"/>
      <c r="F41" s="98"/>
      <c r="G41" s="24" t="s">
        <v>8</v>
      </c>
      <c r="H41" s="23">
        <v>2</v>
      </c>
      <c r="I41" s="26">
        <v>300</v>
      </c>
      <c r="J41" s="12">
        <f t="shared" si="2"/>
        <v>600</v>
      </c>
    </row>
    <row r="42" spans="1:10" x14ac:dyDescent="0.3">
      <c r="A42" s="8"/>
      <c r="B42" s="99" t="s">
        <v>45</v>
      </c>
      <c r="C42" s="100"/>
      <c r="D42" s="100"/>
      <c r="E42" s="100"/>
      <c r="F42" s="101"/>
      <c r="G42" s="24" t="s">
        <v>8</v>
      </c>
      <c r="H42" s="23">
        <v>4</v>
      </c>
      <c r="I42" s="26">
        <v>90.4</v>
      </c>
      <c r="J42" s="12">
        <f t="shared" si="2"/>
        <v>361.6</v>
      </c>
    </row>
    <row r="43" spans="1:10" x14ac:dyDescent="0.3">
      <c r="A43" s="8"/>
      <c r="B43" s="126" t="s">
        <v>2</v>
      </c>
      <c r="C43" s="127"/>
      <c r="D43" s="127"/>
      <c r="E43" s="127"/>
      <c r="F43" s="127"/>
      <c r="G43" s="127"/>
      <c r="H43" s="127"/>
      <c r="I43" s="127"/>
      <c r="J43" s="128">
        <f>SUM(J32:J42)</f>
        <v>5092.5599999999995</v>
      </c>
    </row>
    <row r="44" spans="1:10" x14ac:dyDescent="0.3">
      <c r="A44" s="8"/>
      <c r="B44" s="95" t="s">
        <v>51</v>
      </c>
      <c r="C44" s="96"/>
      <c r="D44" s="96"/>
      <c r="E44" s="96"/>
      <c r="F44" s="96"/>
      <c r="G44" s="96"/>
      <c r="H44" s="96"/>
      <c r="I44" s="96"/>
      <c r="J44" s="96"/>
    </row>
    <row r="45" spans="1:10" x14ac:dyDescent="0.3">
      <c r="A45" s="8"/>
      <c r="B45" s="54" t="s">
        <v>52</v>
      </c>
      <c r="C45" s="55"/>
      <c r="D45" s="55"/>
      <c r="E45" s="55"/>
      <c r="F45" s="55"/>
      <c r="G45" s="55"/>
      <c r="H45" s="55"/>
      <c r="I45" s="56"/>
      <c r="J45" s="3">
        <v>400</v>
      </c>
    </row>
    <row r="46" spans="1:10" x14ac:dyDescent="0.3">
      <c r="A46" s="8"/>
      <c r="B46" s="116" t="s">
        <v>53</v>
      </c>
      <c r="C46" s="117"/>
      <c r="D46" s="117"/>
      <c r="E46" s="117"/>
      <c r="F46" s="117"/>
      <c r="G46" s="117"/>
      <c r="H46" s="117"/>
      <c r="I46" s="118"/>
      <c r="J46" s="3">
        <v>350</v>
      </c>
    </row>
    <row r="47" spans="1:10" x14ac:dyDescent="0.3">
      <c r="A47" s="8"/>
      <c r="B47" s="116" t="s">
        <v>54</v>
      </c>
      <c r="C47" s="117"/>
      <c r="D47" s="117"/>
      <c r="E47" s="117"/>
      <c r="F47" s="117"/>
      <c r="G47" s="117"/>
      <c r="H47" s="117"/>
      <c r="I47" s="118"/>
      <c r="J47" s="150">
        <v>150</v>
      </c>
    </row>
    <row r="48" spans="1:10" x14ac:dyDescent="0.3">
      <c r="A48" s="8"/>
      <c r="B48" s="126" t="s">
        <v>2</v>
      </c>
      <c r="C48" s="127"/>
      <c r="D48" s="127"/>
      <c r="E48" s="127"/>
      <c r="F48" s="127"/>
      <c r="G48" s="127"/>
      <c r="H48" s="127"/>
      <c r="I48" s="127"/>
      <c r="J48" s="128">
        <f>SUM(J45:J47)</f>
        <v>900</v>
      </c>
    </row>
    <row r="49" spans="1:10" x14ac:dyDescent="0.3">
      <c r="A49" s="8"/>
      <c r="B49" s="95" t="s">
        <v>47</v>
      </c>
      <c r="C49" s="96"/>
      <c r="D49" s="96"/>
      <c r="E49" s="96"/>
      <c r="F49" s="96"/>
      <c r="G49" s="96"/>
      <c r="H49" s="96"/>
      <c r="I49" s="96"/>
      <c r="J49" s="96"/>
    </row>
    <row r="50" spans="1:10" x14ac:dyDescent="0.3">
      <c r="A50" s="8"/>
      <c r="B50" s="48" t="s">
        <v>49</v>
      </c>
      <c r="C50" s="49"/>
      <c r="D50" s="49"/>
      <c r="E50" s="49"/>
      <c r="F50" s="50"/>
      <c r="G50" s="1" t="s">
        <v>50</v>
      </c>
      <c r="H50" s="1">
        <v>336</v>
      </c>
      <c r="I50" s="1">
        <v>45</v>
      </c>
      <c r="J50" s="12">
        <f t="shared" ref="J50:J51" si="3">H50*I50</f>
        <v>15120</v>
      </c>
    </row>
    <row r="51" spans="1:10" x14ac:dyDescent="0.3">
      <c r="A51" s="8"/>
      <c r="B51" s="102" t="s">
        <v>48</v>
      </c>
      <c r="C51" s="103"/>
      <c r="D51" s="103"/>
      <c r="E51" s="103"/>
      <c r="F51" s="104"/>
      <c r="G51" s="32" t="s">
        <v>50</v>
      </c>
      <c r="H51" s="32">
        <v>40</v>
      </c>
      <c r="I51" s="31">
        <v>40</v>
      </c>
      <c r="J51" s="12">
        <f t="shared" si="3"/>
        <v>1600</v>
      </c>
    </row>
    <row r="52" spans="1:10" x14ac:dyDescent="0.3">
      <c r="A52" s="8"/>
      <c r="B52" s="126" t="s">
        <v>2</v>
      </c>
      <c r="C52" s="127"/>
      <c r="D52" s="127"/>
      <c r="E52" s="127"/>
      <c r="F52" s="127"/>
      <c r="G52" s="127"/>
      <c r="H52" s="127"/>
      <c r="I52" s="127"/>
      <c r="J52" s="128">
        <f>SUM(J50:J51)</f>
        <v>16720</v>
      </c>
    </row>
    <row r="53" spans="1:10" x14ac:dyDescent="0.3">
      <c r="A53" s="8"/>
      <c r="B53" s="95" t="s">
        <v>36</v>
      </c>
      <c r="C53" s="96"/>
      <c r="D53" s="96"/>
      <c r="E53" s="96"/>
      <c r="F53" s="96"/>
      <c r="G53" s="96"/>
      <c r="H53" s="96"/>
      <c r="I53" s="96"/>
      <c r="J53" s="96"/>
    </row>
    <row r="54" spans="1:10" x14ac:dyDescent="0.3">
      <c r="A54" s="8"/>
      <c r="B54" s="49" t="s">
        <v>37</v>
      </c>
      <c r="C54" s="49"/>
      <c r="D54" s="49"/>
      <c r="E54" s="49"/>
      <c r="F54" s="49"/>
      <c r="G54" s="49"/>
      <c r="H54" s="50"/>
      <c r="I54" s="28">
        <v>100</v>
      </c>
      <c r="J54" s="3">
        <f>I54</f>
        <v>100</v>
      </c>
    </row>
    <row r="55" spans="1:10" x14ac:dyDescent="0.3">
      <c r="A55" s="8"/>
      <c r="B55" s="111" t="s">
        <v>38</v>
      </c>
      <c r="C55" s="112"/>
      <c r="D55" s="112"/>
      <c r="E55" s="112"/>
      <c r="F55" s="112"/>
      <c r="G55" s="112"/>
      <c r="H55" s="27">
        <v>119</v>
      </c>
      <c r="I55" s="28">
        <v>12</v>
      </c>
      <c r="J55" s="3">
        <f t="shared" ref="J55:J56" si="4">H55*I55</f>
        <v>1428</v>
      </c>
    </row>
    <row r="56" spans="1:10" x14ac:dyDescent="0.3">
      <c r="A56" s="8"/>
      <c r="B56" s="113" t="s">
        <v>39</v>
      </c>
      <c r="C56" s="114"/>
      <c r="D56" s="114"/>
      <c r="E56" s="114"/>
      <c r="F56" s="114"/>
      <c r="G56" s="114"/>
      <c r="H56" s="29">
        <v>8</v>
      </c>
      <c r="I56" s="30">
        <v>25</v>
      </c>
      <c r="J56" s="3">
        <f t="shared" si="4"/>
        <v>200</v>
      </c>
    </row>
    <row r="57" spans="1:10" ht="15" thickBot="1" x14ac:dyDescent="0.35">
      <c r="A57" s="8"/>
      <c r="B57" s="151" t="s">
        <v>2</v>
      </c>
      <c r="C57" s="130"/>
      <c r="D57" s="130"/>
      <c r="E57" s="130"/>
      <c r="F57" s="130"/>
      <c r="G57" s="130"/>
      <c r="H57" s="130"/>
      <c r="I57" s="130"/>
      <c r="J57" s="131">
        <f>SUM(J54:J56)</f>
        <v>1728</v>
      </c>
    </row>
    <row r="58" spans="1:10" x14ac:dyDescent="0.3">
      <c r="B58" s="115"/>
      <c r="C58" s="115"/>
      <c r="D58" s="115"/>
      <c r="E58" s="115"/>
      <c r="F58" s="115"/>
      <c r="G58" s="115"/>
    </row>
  </sheetData>
  <mergeCells count="74">
    <mergeCell ref="B8:F8"/>
    <mergeCell ref="M8:Q8"/>
    <mergeCell ref="R8:T8"/>
    <mergeCell ref="B4:F6"/>
    <mergeCell ref="G4:H4"/>
    <mergeCell ref="I4:J4"/>
    <mergeCell ref="M4:T4"/>
    <mergeCell ref="G5:G6"/>
    <mergeCell ref="H5:H6"/>
    <mergeCell ref="I5:I6"/>
    <mergeCell ref="J5:J6"/>
    <mergeCell ref="M5:Q5"/>
    <mergeCell ref="R5:T5"/>
    <mergeCell ref="M6:Q6"/>
    <mergeCell ref="R6:T6"/>
    <mergeCell ref="B7:J7"/>
    <mergeCell ref="M7:Q7"/>
    <mergeCell ref="R7:T7"/>
    <mergeCell ref="B16:F16"/>
    <mergeCell ref="B9:F9"/>
    <mergeCell ref="M9:Q9"/>
    <mergeCell ref="R9:T9"/>
    <mergeCell ref="B10:F10"/>
    <mergeCell ref="M10:Q10"/>
    <mergeCell ref="R10:T10"/>
    <mergeCell ref="B11:F11"/>
    <mergeCell ref="B12:F12"/>
    <mergeCell ref="B13:F13"/>
    <mergeCell ref="B14:F14"/>
    <mergeCell ref="B15:F15"/>
    <mergeCell ref="B28:F28"/>
    <mergeCell ref="B17:F17"/>
    <mergeCell ref="B18:F18"/>
    <mergeCell ref="B19:F19"/>
    <mergeCell ref="B20:F20"/>
    <mergeCell ref="B21:F21"/>
    <mergeCell ref="B22:F22"/>
    <mergeCell ref="B23:F23"/>
    <mergeCell ref="B24:I24"/>
    <mergeCell ref="B25:J25"/>
    <mergeCell ref="B26:F26"/>
    <mergeCell ref="B27:F27"/>
    <mergeCell ref="B40:F40"/>
    <mergeCell ref="B29:F29"/>
    <mergeCell ref="B30:I30"/>
    <mergeCell ref="B31:J31"/>
    <mergeCell ref="B32:F32"/>
    <mergeCell ref="B33:F33"/>
    <mergeCell ref="B34:F34"/>
    <mergeCell ref="B56:G56"/>
    <mergeCell ref="B57:I57"/>
    <mergeCell ref="B58:G58"/>
    <mergeCell ref="B47:I47"/>
    <mergeCell ref="B48:I48"/>
    <mergeCell ref="B49:J49"/>
    <mergeCell ref="B50:F50"/>
    <mergeCell ref="B51:F51"/>
    <mergeCell ref="B52:I52"/>
    <mergeCell ref="M11:Q11"/>
    <mergeCell ref="R11:T11"/>
    <mergeCell ref="B53:J53"/>
    <mergeCell ref="B54:H54"/>
    <mergeCell ref="B55:G55"/>
    <mergeCell ref="B41:F41"/>
    <mergeCell ref="B42:F42"/>
    <mergeCell ref="B43:I43"/>
    <mergeCell ref="B44:J44"/>
    <mergeCell ref="B45:I45"/>
    <mergeCell ref="B46:I46"/>
    <mergeCell ref="B35:F35"/>
    <mergeCell ref="B36:F36"/>
    <mergeCell ref="B37:F37"/>
    <mergeCell ref="B38:F38"/>
    <mergeCell ref="B39:F39"/>
  </mergeCells>
  <hyperlinks>
    <hyperlink ref="B15:F15" r:id="rId1" display="Rejiband 60x100 mm de 3 mts" xr:uid="{54CB5174-DF18-4D68-9FEA-98965DA21B0C}"/>
    <hyperlink ref="B21:F21" r:id="rId2" display="Canaleta 6x9 mm de 2 mts" xr:uid="{4F4B6897-B2CF-4E30-9B81-D469426ED72C}"/>
    <hyperlink ref="B11:F11" r:id="rId3" display="Caja de pared con 4 elementos dobles y enchufes" xr:uid="{88BE82DA-9FC9-44CB-9D17-8B6099AE50BC}"/>
    <hyperlink ref="B16:F16" r:id="rId4" display="Bolsa de 50 unidades de uniones para Rejiband" xr:uid="{70F28320-104E-4A46-9259-645BA823321C}"/>
    <hyperlink ref="B17:F17" r:id="rId5" display="Soportes para Rejiband" xr:uid="{3E652BA3-FF0F-4B58-9D84-B18BBA59BCC0}"/>
    <hyperlink ref="B19:F19" r:id="rId6" display="Soportes para baldosas de 60mm" xr:uid="{C01C5AE7-F9E1-46F8-B4BC-30A8C649BC46}"/>
    <hyperlink ref="B20:F20" r:id="rId7" display="Bobina de Cable F/UTP Cat 6 (305 mts)" xr:uid="{08618A5A-0C8C-43A2-8D72-72E8F868498B}"/>
    <hyperlink ref="B8:F8" r:id="rId8" display="Roseta simple de CAT6 FTP" xr:uid="{FC0C668A-5AF3-4B90-B31E-43C7A8A9A748}"/>
    <hyperlink ref="B9:F9" r:id="rId9" display="Roseta doble de CAT6 FTP" xr:uid="{2F80F17C-D60F-41B4-8373-A996FE5C8731}"/>
    <hyperlink ref="B10:F10" r:id="rId10" display="Roseta de 4 puertos de CAT6 FTP" xr:uid="{67D5D831-C66A-4C6D-9B68-46DC31156E17}"/>
    <hyperlink ref="B12:F12" r:id="rId11" display="Conectores RJ-45 (Pack de 100)" xr:uid="{18D0D5D9-9FA6-4871-B81F-6485E5FB4026}"/>
    <hyperlink ref="B13:F13" r:id="rId12" display="Etiquetas" xr:uid="{58D79F9C-68E6-480B-92FF-95EB504340C2}"/>
    <hyperlink ref="B14:F14" r:id="rId13" display="Bridas (Pack de 100)" xr:uid="{13CDA22F-3284-4D7B-A9E0-2A0E2A7D3D26}"/>
    <hyperlink ref="B22:F22" r:id="rId14" display="Punto de Acceso WiFi 7 2.5 GbE" xr:uid="{9A85275D-548A-4054-BDC4-274F4AF97C77}"/>
    <hyperlink ref="B26:F26" r:id="rId15" display="Fibra Óptica Multimodo OM4" xr:uid="{BFECF9A3-84B1-4B9C-921B-14A5C96C9021}"/>
    <hyperlink ref="B27:F27" r:id="rId16" location="closemodal" display="Conectores LC Multimodo OM4" xr:uid="{003D1BCA-A25C-4804-B76C-B04C70B2D908}"/>
    <hyperlink ref="B29:F29" r:id="rId17" display="Canaleta 6x9 mm de 2 mts" xr:uid="{819F23F2-20D7-4E66-987C-714F0873375E}"/>
    <hyperlink ref="B28:F28" r:id="rId18" display="Módulo transceptor óptico 10GBASE-SR" xr:uid="{F72F4687-9C6A-4349-ACA5-473B037B7A1E}"/>
    <hyperlink ref="B33:F33" r:id="rId19" display="Router Fortinet FG-60F-EU" xr:uid="{DF4F5451-8494-41DE-B765-945E26B50056}"/>
    <hyperlink ref="B32:F32" r:id="rId20" display="Armario 19U" xr:uid="{BAF300C7-5D5C-4842-85BF-0A41706A1566}"/>
    <hyperlink ref="B36:F36" r:id="rId21" display="Bandeja de Fibra Óptica" xr:uid="{413AFE42-D73B-4A33-A58F-84D8A708E1DD}"/>
    <hyperlink ref="B37:F37" r:id="rId22" display="Patch Panel 48 Puertos" xr:uid="{A94814A7-3ACF-476B-A9E9-A1B720C7DFBA}"/>
    <hyperlink ref="B38:F38" r:id="rId23" display="Patch Panel 16 Puertos" xr:uid="{553CCA96-B8D9-48A1-88B7-0CE88E927DE2}"/>
    <hyperlink ref="B40:F40" r:id="rId24" display="Regleta (PDU)" xr:uid="{CDDF7060-CCBC-4A9D-92E8-84013DC3F7F7}"/>
    <hyperlink ref="B41:F41" r:id="rId25" display="SAI CyberPower 1000VA  Rackmount" xr:uid="{F831BA56-0BBD-478C-AF76-A27105F50BEF}"/>
    <hyperlink ref="B39:F39" r:id="rId26" display="Bandeja Portacables 1U" xr:uid="{829FC781-9906-45C2-9835-A2775FEF586E}"/>
    <hyperlink ref="B23:F23" r:id="rId27" display="Cámara para exteriores IP Reolink P320" xr:uid="{FC53EFF3-D5D4-463E-9D6F-99EE246D8A96}"/>
    <hyperlink ref="B35:F35" r:id="rId28" display="Switch 16 Puertos PoE+" xr:uid="{1A11953E-935C-4A4F-9EB4-DCE518B6E8E2}"/>
    <hyperlink ref="B34:F34" r:id="rId29" display="Switch 48 Puertos" xr:uid="{5D341645-CE77-4E46-8F1E-750C63F79BF2}"/>
    <hyperlink ref="B42:F42" r:id="rId30" display="Panel Ventilación 230V Rack 19'" xr:uid="{0608322D-890D-4E32-A9AD-347F386407DF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Contratista</vt:lpstr>
      <vt:lpstr>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 Andres Mora Suarez</cp:lastModifiedBy>
  <dcterms:created xsi:type="dcterms:W3CDTF">2015-06-05T18:17:20Z</dcterms:created>
  <dcterms:modified xsi:type="dcterms:W3CDTF">2026-01-16T02:11:12Z</dcterms:modified>
</cp:coreProperties>
</file>
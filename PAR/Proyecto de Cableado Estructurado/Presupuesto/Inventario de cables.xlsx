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IR\PAR\PARP301-SCE\Presupuesto\"/>
    </mc:Choice>
  </mc:AlternateContent>
  <xr:revisionPtr revIDLastSave="0" documentId="13_ncr:1_{B7D94B79-3CDC-4A35-A8C1-4F0133871372}" xr6:coauthVersionLast="47" xr6:coauthVersionMax="47" xr10:uidLastSave="{00000000-0000-0000-0000-000000000000}"/>
  <bookViews>
    <workbookView xWindow="-96" yWindow="0" windowWidth="11712" windowHeight="12336" xr2:uid="{66FD15F6-3266-40B3-9A10-C31E0F4814DA}"/>
  </bookViews>
  <sheets>
    <sheet name="P1" sheetId="1" r:id="rId1"/>
    <sheet name="P2" sheetId="2" r:id="rId2"/>
    <sheet name="Latiguillos" sheetId="4" r:id="rId3"/>
    <sheet name="Tot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6" i="4"/>
  <c r="D6" i="4"/>
  <c r="D4" i="3"/>
  <c r="E5" i="4"/>
  <c r="E4" i="4"/>
  <c r="G2" i="2"/>
  <c r="C50" i="2"/>
  <c r="C49" i="2"/>
  <c r="C48" i="2"/>
  <c r="C51" i="2"/>
  <c r="H3" i="3"/>
  <c r="G3" i="1"/>
  <c r="G1" i="1"/>
  <c r="G2" i="1"/>
  <c r="C42" i="1" l="1"/>
  <c r="C43" i="1"/>
  <c r="C41" i="1"/>
  <c r="C40" i="1"/>
  <c r="C39" i="1"/>
  <c r="C38" i="1" l="1"/>
  <c r="C37" i="1"/>
  <c r="C36" i="1"/>
  <c r="C35" i="1"/>
  <c r="C34" i="1"/>
  <c r="C33" i="1"/>
  <c r="C32" i="1"/>
  <c r="C57" i="2"/>
  <c r="C56" i="2"/>
  <c r="C55" i="2"/>
  <c r="C54" i="2"/>
  <c r="C53" i="2"/>
  <c r="C52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17" i="2"/>
  <c r="C16" i="2"/>
  <c r="C15" i="2"/>
  <c r="C14" i="2"/>
  <c r="C13" i="2"/>
  <c r="C12" i="2"/>
  <c r="C11" i="2"/>
  <c r="C10" i="2"/>
  <c r="C19" i="2"/>
  <c r="C18" i="2"/>
  <c r="C21" i="2"/>
  <c r="C20" i="2"/>
  <c r="C9" i="2"/>
  <c r="C8" i="2"/>
  <c r="C7" i="2"/>
  <c r="C6" i="2"/>
  <c r="C5" i="2"/>
  <c r="C4" i="2"/>
  <c r="C3" i="2"/>
  <c r="C2" i="2"/>
  <c r="C31" i="1"/>
  <c r="C30" i="1"/>
  <c r="C23" i="1"/>
  <c r="C22" i="1"/>
  <c r="C21" i="1"/>
  <c r="C20" i="1"/>
  <c r="C25" i="1"/>
  <c r="C24" i="1"/>
  <c r="C27" i="1"/>
  <c r="C26" i="1"/>
  <c r="C29" i="1"/>
  <c r="C28" i="1"/>
  <c r="C19" i="1"/>
  <c r="C18" i="1"/>
  <c r="C17" i="1"/>
  <c r="C16" i="1"/>
  <c r="C15" i="1"/>
  <c r="C14" i="1"/>
  <c r="C13" i="1"/>
  <c r="C12" i="1"/>
  <c r="C9" i="1"/>
  <c r="C8" i="1"/>
  <c r="C11" i="1"/>
  <c r="C10" i="1"/>
  <c r="C7" i="1"/>
  <c r="C6" i="1"/>
  <c r="C5" i="1"/>
  <c r="C4" i="1"/>
  <c r="C3" i="1"/>
  <c r="C2" i="1"/>
  <c r="G1" i="2" l="1"/>
  <c r="D5" i="3" l="1"/>
</calcChain>
</file>

<file path=xl/sharedStrings.xml><?xml version="1.0" encoding="utf-8"?>
<sst xmlns="http://schemas.openxmlformats.org/spreadsheetml/2006/main" count="220" uniqueCount="211">
  <si>
    <t>ORIGEN</t>
  </si>
  <si>
    <t>PUESTO</t>
  </si>
  <si>
    <t>P1-OF1-R1</t>
  </si>
  <si>
    <t>P1-OF1-R2</t>
  </si>
  <si>
    <t>P1-OF2-R1</t>
  </si>
  <si>
    <t>P1-OF2-R2</t>
  </si>
  <si>
    <t>P1-OF3-R1</t>
  </si>
  <si>
    <t>P1-OF3-R2</t>
  </si>
  <si>
    <t>P1-OF4-R1</t>
  </si>
  <si>
    <t>P1-OF4-R2</t>
  </si>
  <si>
    <t>P1-OF5-R1</t>
  </si>
  <si>
    <t>P1-OF5-R2</t>
  </si>
  <si>
    <t>P1-OF6-R1</t>
  </si>
  <si>
    <t>P1-OF6-R2</t>
  </si>
  <si>
    <t>P1-OF7-R1</t>
  </si>
  <si>
    <t>P1-OF7-R2</t>
  </si>
  <si>
    <t>P1-OF8-R1</t>
  </si>
  <si>
    <t>P1-OF8-R2</t>
  </si>
  <si>
    <t>P1-OF9-R1</t>
  </si>
  <si>
    <t>P1-OF9-R2</t>
  </si>
  <si>
    <t>P1-OF10-R1</t>
  </si>
  <si>
    <t>P1-OF10-R2</t>
  </si>
  <si>
    <t>P1-OF11-R1</t>
  </si>
  <si>
    <t>P1-OF11-R2</t>
  </si>
  <si>
    <t>P1-OF12-R1</t>
  </si>
  <si>
    <t>P1-OF12-R2</t>
  </si>
  <si>
    <t>P1-OF13-R1</t>
  </si>
  <si>
    <t>P1-OF13-R2</t>
  </si>
  <si>
    <t>P1-OF14-R1</t>
  </si>
  <si>
    <t>P1-OF14-R2</t>
  </si>
  <si>
    <t>P1-OF15-R1</t>
  </si>
  <si>
    <t>P1-OF15-R2</t>
  </si>
  <si>
    <t>P2-HC2-P1</t>
  </si>
  <si>
    <t>P2-HC2-P2</t>
  </si>
  <si>
    <t>P2-HC2-P3</t>
  </si>
  <si>
    <t>P2-HC2-P4</t>
  </si>
  <si>
    <t>P2-HC2-P5</t>
  </si>
  <si>
    <t>P2-HC2-P6</t>
  </si>
  <si>
    <t>P2-HC2-P7</t>
  </si>
  <si>
    <t>P2-HC2-P8</t>
  </si>
  <si>
    <t>P2-HC2-P9</t>
  </si>
  <si>
    <t>P2-HC2-P10</t>
  </si>
  <si>
    <t>P2-HC2-P11</t>
  </si>
  <si>
    <t>P2-HC2-P12</t>
  </si>
  <si>
    <t>P2-HC2-P13</t>
  </si>
  <si>
    <t>P2-HC2-P14</t>
  </si>
  <si>
    <t>P2-HC2-P15</t>
  </si>
  <si>
    <t>P2-HC2-P16</t>
  </si>
  <si>
    <t>P2-HC2-P17</t>
  </si>
  <si>
    <t>P2-HC2-P18</t>
  </si>
  <si>
    <t>P2-HC2-P19</t>
  </si>
  <si>
    <t>P2-HC2-P20</t>
  </si>
  <si>
    <t>P2-HC2-P21</t>
  </si>
  <si>
    <t>P2-HC2-P22</t>
  </si>
  <si>
    <t>P2-HC2-P23</t>
  </si>
  <si>
    <t>P2-HC2-P24</t>
  </si>
  <si>
    <t>P2-HC2-P25</t>
  </si>
  <si>
    <t>P2-HC2-P26</t>
  </si>
  <si>
    <t>P2-HC2-P27</t>
  </si>
  <si>
    <t>P2-HC2-P28</t>
  </si>
  <si>
    <t>P2-HC2-P29</t>
  </si>
  <si>
    <t>P2-HC2-P30</t>
  </si>
  <si>
    <t>P2-HC2-P31</t>
  </si>
  <si>
    <t>P2-HC2-P32</t>
  </si>
  <si>
    <t>P2-HC2-P33</t>
  </si>
  <si>
    <t>P2-HC2-P34</t>
  </si>
  <si>
    <t>P2-HC2-P35</t>
  </si>
  <si>
    <t>P2-HC2-P36</t>
  </si>
  <si>
    <t>P2-HC2-P37</t>
  </si>
  <si>
    <t>P2-HC2-P38</t>
  </si>
  <si>
    <t>P2-HC2-P39</t>
  </si>
  <si>
    <t>P2-HC2-P40</t>
  </si>
  <si>
    <t>P2-HC2-P41</t>
  </si>
  <si>
    <t>P2-HC2-P42</t>
  </si>
  <si>
    <t>P2-HC2-P43</t>
  </si>
  <si>
    <t>P2-HC2-P44</t>
  </si>
  <si>
    <t>P2-HC2-P45</t>
  </si>
  <si>
    <t>P2-OF1-R1</t>
  </si>
  <si>
    <t>P2-OF1-R2</t>
  </si>
  <si>
    <t>P2-OF2-R1</t>
  </si>
  <si>
    <t>P2-OF2-R2</t>
  </si>
  <si>
    <t>P2-OF3-R1</t>
  </si>
  <si>
    <t>P2-OF3-R2</t>
  </si>
  <si>
    <t>P2-OF4-R1</t>
  </si>
  <si>
    <t>P2-OF4-R2</t>
  </si>
  <si>
    <t>P2-OF5-R1</t>
  </si>
  <si>
    <t>P2-OF5-R2</t>
  </si>
  <si>
    <t>P2-OF6-R1</t>
  </si>
  <si>
    <t>P2-OF6-R2</t>
  </si>
  <si>
    <t>P2-OF7-R1</t>
  </si>
  <si>
    <t>P2-OF7-R2</t>
  </si>
  <si>
    <t>P2-OF8-R1</t>
  </si>
  <si>
    <t>P2-OF8-R2</t>
  </si>
  <si>
    <t>P2-OF9-R1</t>
  </si>
  <si>
    <t>P2-OF9-R2</t>
  </si>
  <si>
    <t>P2-OF10-R1</t>
  </si>
  <si>
    <t>P2-OF10-R2</t>
  </si>
  <si>
    <t>P2-OF11-R1</t>
  </si>
  <si>
    <t>P2-OF11-R2</t>
  </si>
  <si>
    <t>P2-OF12-R1</t>
  </si>
  <si>
    <t>P2-OF12-R2</t>
  </si>
  <si>
    <t>P2-OF13-R1</t>
  </si>
  <si>
    <t>P2-OF13-R2</t>
  </si>
  <si>
    <t>P2-OF14-R1</t>
  </si>
  <si>
    <t>P2-OF14-R2</t>
  </si>
  <si>
    <t>P2-OF15-R1</t>
  </si>
  <si>
    <t>P2-OF15-R2</t>
  </si>
  <si>
    <t>P2-OF16-R1</t>
  </si>
  <si>
    <t>P2-OF16-R2</t>
  </si>
  <si>
    <t>P2-OF17-R1</t>
  </si>
  <si>
    <t>P2-OF17-R2</t>
  </si>
  <si>
    <t>P2-OF18-R1</t>
  </si>
  <si>
    <t>P2-OF18-R2</t>
  </si>
  <si>
    <t>P2-OF19-R1</t>
  </si>
  <si>
    <t>P2-OF19-R2</t>
  </si>
  <si>
    <t>P2-OF20-R1</t>
  </si>
  <si>
    <t>P2-OF20-R2</t>
  </si>
  <si>
    <t>P2-OF21-R1</t>
  </si>
  <si>
    <t>P2-OF21-R2</t>
  </si>
  <si>
    <t>P2-OF22-R1</t>
  </si>
  <si>
    <t>P2-OF22-R2</t>
  </si>
  <si>
    <t>P2-LIB-R1</t>
  </si>
  <si>
    <t>P1-HC1-P1</t>
  </si>
  <si>
    <t>P1-HC1-P2</t>
  </si>
  <si>
    <t>P1-HC1-P3</t>
  </si>
  <si>
    <t>P1-HC1-P4</t>
  </si>
  <si>
    <t>P1-HC1-P5</t>
  </si>
  <si>
    <t>P1-HC1-P6</t>
  </si>
  <si>
    <t>P1-HC1-P7</t>
  </si>
  <si>
    <t>P1-HC1-P8</t>
  </si>
  <si>
    <t>P1-HC1-P9</t>
  </si>
  <si>
    <t>P1-HC1-P10</t>
  </si>
  <si>
    <t>P1-HC1-P11</t>
  </si>
  <si>
    <t>P1-HC1-P12</t>
  </si>
  <si>
    <t>P1-HC1-P13</t>
  </si>
  <si>
    <t>P1-HC1-P14</t>
  </si>
  <si>
    <t>P1-HC1-P15</t>
  </si>
  <si>
    <t>P1-HC1-P16</t>
  </si>
  <si>
    <t>P1-HC1-P17</t>
  </si>
  <si>
    <t>P1-HC1-P18</t>
  </si>
  <si>
    <t>P1-HC1-P19</t>
  </si>
  <si>
    <t>P1-HC1-P20</t>
  </si>
  <si>
    <t>P1-HC1-P21</t>
  </si>
  <si>
    <t>P1-HC1-P22</t>
  </si>
  <si>
    <t>P1-HC1-P23</t>
  </si>
  <si>
    <t>P1-HC1-P24</t>
  </si>
  <si>
    <t>P1-HC1-P25</t>
  </si>
  <si>
    <t>P1-HC1-P26</t>
  </si>
  <si>
    <t>P1-HC1-P27</t>
  </si>
  <si>
    <t>P1-HC1-P28</t>
  </si>
  <si>
    <t>P1-HC1-P29</t>
  </si>
  <si>
    <t>P1-HC1-P30</t>
  </si>
  <si>
    <t>P2-LIB-R2</t>
  </si>
  <si>
    <t>P2-HC2-P46</t>
  </si>
  <si>
    <t>P2-SC-R1</t>
  </si>
  <si>
    <t>P2-SC-R2</t>
  </si>
  <si>
    <t>P2-SC-R3</t>
  </si>
  <si>
    <t>P2-AP-1</t>
  </si>
  <si>
    <t>P2-AP-2</t>
  </si>
  <si>
    <t>P2-AP-3</t>
  </si>
  <si>
    <t>CABLE (mts)</t>
  </si>
  <si>
    <t>Total (mts)</t>
  </si>
  <si>
    <t>número de cables RJ-45</t>
  </si>
  <si>
    <t>Metros en Total</t>
  </si>
  <si>
    <t>Conectores en Total</t>
  </si>
  <si>
    <t>P1-Demarc</t>
  </si>
  <si>
    <t>P1-TR</t>
  </si>
  <si>
    <t>P2-TR</t>
  </si>
  <si>
    <t>RJ45</t>
  </si>
  <si>
    <t>Cables en Total</t>
  </si>
  <si>
    <t>Fibra Óptica</t>
  </si>
  <si>
    <t>P1-SR-R1</t>
  </si>
  <si>
    <t>P1-SR-R2</t>
  </si>
  <si>
    <t>P1-SD-R1</t>
  </si>
  <si>
    <t>P1-AP-1</t>
  </si>
  <si>
    <t>P1-AP-2</t>
  </si>
  <si>
    <t>P1-AP-3</t>
  </si>
  <si>
    <t>P1-HC1-P41-44</t>
  </si>
  <si>
    <t>P1-CV-1</t>
  </si>
  <si>
    <t>P1-CV-2</t>
  </si>
  <si>
    <t>P1-CV-3</t>
  </si>
  <si>
    <t>P1-HC1-P31-34</t>
  </si>
  <si>
    <t>P1-HC1-P35-36</t>
  </si>
  <si>
    <t>P1-HC1-P37-40</t>
  </si>
  <si>
    <t>P1-SC-R1</t>
  </si>
  <si>
    <t>P1-HC1-SW2-1</t>
  </si>
  <si>
    <t>P1-HC1-SW2-2</t>
  </si>
  <si>
    <t>P1-HC1-SW2-3</t>
  </si>
  <si>
    <t>P1-HC1-SW2-4</t>
  </si>
  <si>
    <t>P1-HC1-SW2-5</t>
  </si>
  <si>
    <t>P1-HC1-SW2-6</t>
  </si>
  <si>
    <t>P2-OF23-R1</t>
  </si>
  <si>
    <t>P2-OF23-R2</t>
  </si>
  <si>
    <t>P2-CA-R1</t>
  </si>
  <si>
    <t>P2-CA-R2</t>
  </si>
  <si>
    <t>P2-HC2-SW3-P1-4</t>
  </si>
  <si>
    <t>P2-HC2-SW3-P5-6</t>
  </si>
  <si>
    <t>P2-HC2-SW3-P7</t>
  </si>
  <si>
    <t>P2-HC2-SW3-P8-11</t>
  </si>
  <si>
    <t>P2-HC2-SW3-P12</t>
  </si>
  <si>
    <t>P2-HC2-SW3-P13-16</t>
  </si>
  <si>
    <t>P2-HC2-SW3-P17-20</t>
  </si>
  <si>
    <t>P2-HC2-SW2-P1</t>
  </si>
  <si>
    <t>P2-HC2-SW2-P2</t>
  </si>
  <si>
    <t>P2-HC2-SW2-P3</t>
  </si>
  <si>
    <t>Ubicación</t>
  </si>
  <si>
    <t>Rack (Switch a Patch Panel)</t>
  </si>
  <si>
    <t>Puesto (Roseta a PC/AP)</t>
  </si>
  <si>
    <t>TOTAL LATIGUILLOS</t>
  </si>
  <si>
    <t>Longitud (mts)</t>
  </si>
  <si>
    <t>Cantidad (ud)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</si>
</sst>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/>
        <bgColor theme="7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4" borderId="13" xfId="0" applyFill="1" applyBorder="1"/>
    <xf numFmtId="0" fontId="0" fillId="4" borderId="16" xfId="0" applyFill="1" applyBorder="1"/>
    <xf numFmtId="0" fontId="0" fillId="4" borderId="15" xfId="0" applyFill="1" applyBorder="1"/>
    <xf numFmtId="0" fontId="2" fillId="7" borderId="7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7" xfId="1" applyBorder="1" applyAlignment="1">
      <alignment horizontal="center" vertical="center"/>
    </xf>
    <xf numFmtId="0" fontId="2" fillId="5" borderId="1" xfId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 readingOrder="1"/>
    </xf>
    <xf numFmtId="8" fontId="3" fillId="0" borderId="0" xfId="0" applyNumberFormat="1" applyFont="1" applyAlignment="1">
      <alignment horizontal="left" vertical="center" wrapText="1" indent="1" readingOrder="1"/>
    </xf>
    <xf numFmtId="8" fontId="4" fillId="0" borderId="0" xfId="0" applyNumberFormat="1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left" vertical="center" wrapText="1" indent="1" readingOrder="1"/>
    </xf>
    <xf numFmtId="0" fontId="5" fillId="2" borderId="19" xfId="0" applyFont="1" applyFill="1" applyBorder="1" applyAlignment="1">
      <alignment horizontal="left" vertical="center" wrapText="1" indent="1" readingOrder="1"/>
    </xf>
    <xf numFmtId="0" fontId="5" fillId="2" borderId="13" xfId="0" applyFont="1" applyFill="1" applyBorder="1" applyAlignment="1">
      <alignment horizontal="left" vertical="center" wrapText="1" indent="1" readingOrder="1"/>
    </xf>
    <xf numFmtId="0" fontId="7" fillId="0" borderId="18" xfId="0" applyFont="1" applyBorder="1" applyAlignment="1">
      <alignment horizontal="left" vertical="center" wrapText="1" indent="1" readingOrder="1"/>
    </xf>
    <xf numFmtId="0" fontId="8" fillId="0" borderId="18" xfId="0" applyFont="1" applyBorder="1" applyAlignment="1">
      <alignment horizontal="left" vertical="center" wrapText="1" indent="1" readingOrder="1"/>
    </xf>
    <xf numFmtId="0" fontId="8" fillId="0" borderId="19" xfId="0" applyFont="1" applyBorder="1" applyAlignment="1">
      <alignment horizontal="left" vertical="center" wrapText="1" indent="1" readingOrder="1"/>
    </xf>
    <xf numFmtId="0" fontId="8" fillId="0" borderId="13" xfId="0" applyFont="1" applyBorder="1" applyAlignment="1">
      <alignment horizontal="left" vertical="center" wrapText="1" indent="1" readingOrder="1"/>
    </xf>
    <xf numFmtId="0" fontId="7" fillId="0" borderId="19" xfId="0" applyFont="1" applyBorder="1" applyAlignment="1">
      <alignment horizontal="left" vertical="center" wrapText="1" indent="1" readingOrder="1"/>
    </xf>
    <xf numFmtId="0" fontId="7" fillId="0" borderId="13" xfId="0" applyFont="1" applyBorder="1" applyAlignment="1">
      <alignment horizontal="left" vertical="center" wrapText="1" indent="1" readingOrder="1"/>
    </xf>
    <xf numFmtId="0" fontId="6" fillId="3" borderId="12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</cellXfs>
  <cellStyles count="2">
    <cellStyle name="Énfasis3" xfId="1" builtinId="37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EF6AD-9A24-4875-8E55-AF91914DC3D0}" name="Tabla2" displayName="Tabla2" ref="A1:C43" totalsRowShown="0" headerRowDxfId="11" headerRowBorderDxfId="10" tableBorderDxfId="9" totalsRowBorderDxfId="8">
  <autoFilter ref="A1:C43" xr:uid="{B57EF6AD-9A24-4875-8E55-AF91914DC3D0}"/>
  <tableColumns count="3">
    <tableColumn id="1" xr3:uid="{1C30D6AA-6441-4C46-B3E1-1C6C51228263}" name="ORIGEN" dataDxfId="7"/>
    <tableColumn id="2" xr3:uid="{1FF7C5C5-26F4-467D-A1CC-9274CB2C7001}" name="PUESTO" dataDxfId="6"/>
    <tableColumn id="3" xr3:uid="{410F7477-9986-4C74-AB13-9FA58FB9DCB7}" name="CABLE (mts)" dataDxfId="5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7D03E-1CCA-49F8-9C20-053D4BE48488}" name="Tabla1" displayName="Tabla1" ref="A1:C57" totalsRowShown="0" headerRowDxfId="4" dataDxfId="3">
  <autoFilter ref="A1:C57" xr:uid="{8B17D03E-1CCA-49F8-9C20-053D4BE48488}"/>
  <tableColumns count="3">
    <tableColumn id="1" xr3:uid="{368F94BF-674A-42FE-9E69-C936F7B1C6C0}" name="ORIGEN" dataDxfId="2"/>
    <tableColumn id="2" xr3:uid="{BD71E70D-E276-43CC-871A-E32640045F05}" name="PUESTO" dataDxfId="1"/>
    <tableColumn id="3" xr3:uid="{BBF8BAD3-FC19-4DBC-8FF5-F1BCB686ADA5}" name="CABLE (mts)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1F37-1458-49C7-9432-0141F2BBF2DE}">
  <dimension ref="A1:G43"/>
  <sheetViews>
    <sheetView tabSelected="1" zoomScaleNormal="100" workbookViewId="0">
      <selection activeCell="E14" sqref="E14"/>
    </sheetView>
  </sheetViews>
  <sheetFormatPr baseColWidth="10" defaultRowHeight="14.4" x14ac:dyDescent="0.3"/>
  <cols>
    <col min="1" max="1" width="16.88671875" customWidth="1"/>
    <col min="2" max="3" width="13.77734375" customWidth="1"/>
  </cols>
  <sheetData>
    <row r="1" spans="1:7" x14ac:dyDescent="0.3">
      <c r="A1" s="4" t="s">
        <v>0</v>
      </c>
      <c r="B1" s="5" t="s">
        <v>1</v>
      </c>
      <c r="C1" s="6" t="s">
        <v>160</v>
      </c>
      <c r="E1" s="24" t="s">
        <v>161</v>
      </c>
      <c r="F1" s="24"/>
      <c r="G1" s="10">
        <f>SUM(C2:C41)</f>
        <v>692.98054230799983</v>
      </c>
    </row>
    <row r="2" spans="1:7" x14ac:dyDescent="0.3">
      <c r="A2" s="2" t="s">
        <v>122</v>
      </c>
      <c r="B2" s="1" t="s">
        <v>2</v>
      </c>
      <c r="C2" s="3">
        <f>(33.25+141.33+415.2417+66.6+213.0434)*13.48/1000</f>
        <v>11.720389548000002</v>
      </c>
      <c r="E2" s="24" t="s">
        <v>162</v>
      </c>
      <c r="F2" s="24"/>
      <c r="G2" s="1">
        <f>44+6</f>
        <v>50</v>
      </c>
    </row>
    <row r="3" spans="1:7" x14ac:dyDescent="0.3">
      <c r="A3" s="2" t="s">
        <v>123</v>
      </c>
      <c r="B3" s="1" t="s">
        <v>3</v>
      </c>
      <c r="C3" s="3">
        <f>(33.25+141.33+415.2417+66.6+213.0434+167.9+211.3+167.9)*13.48/1000</f>
        <v>19.095297548000001</v>
      </c>
      <c r="E3" s="25" t="s">
        <v>170</v>
      </c>
      <c r="F3" s="25"/>
      <c r="G3" s="10">
        <f>SUM(C42,C43)</f>
        <v>25.783783999999997</v>
      </c>
    </row>
    <row r="4" spans="1:7" x14ac:dyDescent="0.3">
      <c r="A4" s="2" t="s">
        <v>124</v>
      </c>
      <c r="B4" s="1" t="s">
        <v>4</v>
      </c>
      <c r="C4" s="3">
        <f>(33.25+141.33+180+213.0434)*13.48/1000</f>
        <v>7.6515634320000006</v>
      </c>
    </row>
    <row r="5" spans="1:7" x14ac:dyDescent="0.3">
      <c r="A5" s="2" t="s">
        <v>125</v>
      </c>
      <c r="B5" s="1" t="s">
        <v>5</v>
      </c>
      <c r="C5" s="3">
        <f>(33.25+141.33+180+213.0434+167.9+211.3+167.9)*13.48/1000</f>
        <v>15.026471432000003</v>
      </c>
    </row>
    <row r="6" spans="1:7" x14ac:dyDescent="0.3">
      <c r="A6" s="2" t="s">
        <v>126</v>
      </c>
      <c r="B6" s="1" t="s">
        <v>6</v>
      </c>
      <c r="C6" s="3">
        <f>(33.25+141.33+213)*13.48/1000</f>
        <v>5.2245784000000004</v>
      </c>
    </row>
    <row r="7" spans="1:7" x14ac:dyDescent="0.3">
      <c r="A7" s="2" t="s">
        <v>127</v>
      </c>
      <c r="B7" s="1" t="s">
        <v>7</v>
      </c>
      <c r="C7" s="3">
        <f>(33.25+141.33+213+167.9+211.3+167.9)*13.48/1000</f>
        <v>12.5994864</v>
      </c>
    </row>
    <row r="8" spans="1:7" x14ac:dyDescent="0.3">
      <c r="A8" s="2" t="s">
        <v>128</v>
      </c>
      <c r="B8" s="1" t="s">
        <v>8</v>
      </c>
      <c r="C8" s="3">
        <f>(33.25+141.33+531.31+213)*13.48/1000</f>
        <v>12.386637200000001</v>
      </c>
    </row>
    <row r="9" spans="1:7" x14ac:dyDescent="0.3">
      <c r="A9" s="2" t="s">
        <v>129</v>
      </c>
      <c r="B9" s="1" t="s">
        <v>9</v>
      </c>
      <c r="C9" s="3">
        <f>(33.25+141.33+531.31+213+167.9+211.3+167.9)*13.48/1000</f>
        <v>19.7615452</v>
      </c>
    </row>
    <row r="10" spans="1:7" x14ac:dyDescent="0.3">
      <c r="A10" s="2" t="s">
        <v>130</v>
      </c>
      <c r="B10" s="1" t="s">
        <v>10</v>
      </c>
      <c r="C10" s="3">
        <f>(33.25+141.33+470+171)*13.48/1000</f>
        <v>10.994018400000002</v>
      </c>
    </row>
    <row r="11" spans="1:7" x14ac:dyDescent="0.3">
      <c r="A11" s="2" t="s">
        <v>131</v>
      </c>
      <c r="B11" s="1" t="s">
        <v>11</v>
      </c>
      <c r="C11" s="3">
        <f>(33.25+141.33+470+171+101+168+101)*13.48/1000</f>
        <v>15.981618399999999</v>
      </c>
    </row>
    <row r="12" spans="1:7" x14ac:dyDescent="0.3">
      <c r="A12" s="2" t="s">
        <v>132</v>
      </c>
      <c r="B12" s="1" t="s">
        <v>12</v>
      </c>
      <c r="C12" s="3">
        <f>(33.25+141.33+658+171)*13.48/1000</f>
        <v>13.5282584</v>
      </c>
    </row>
    <row r="13" spans="1:7" x14ac:dyDescent="0.3">
      <c r="A13" s="2" t="s">
        <v>133</v>
      </c>
      <c r="B13" s="1" t="s">
        <v>13</v>
      </c>
      <c r="C13" s="3">
        <f>(33.25+141.33+658+171+101+168+101)*13.48/1000</f>
        <v>18.515858400000003</v>
      </c>
    </row>
    <row r="14" spans="1:7" x14ac:dyDescent="0.3">
      <c r="A14" s="2" t="s">
        <v>134</v>
      </c>
      <c r="B14" s="1" t="s">
        <v>14</v>
      </c>
      <c r="C14" s="3">
        <f>(33.25+141.33+848+171)*13.48/1000</f>
        <v>16.089458399999998</v>
      </c>
    </row>
    <row r="15" spans="1:7" x14ac:dyDescent="0.3">
      <c r="A15" s="2" t="s">
        <v>135</v>
      </c>
      <c r="B15" s="1" t="s">
        <v>15</v>
      </c>
      <c r="C15" s="3">
        <f>(33.25+141.33+848+171+101+168+101)*13.48/1000</f>
        <v>21.077058399999999</v>
      </c>
    </row>
    <row r="16" spans="1:7" x14ac:dyDescent="0.3">
      <c r="A16" s="2" t="s">
        <v>136</v>
      </c>
      <c r="B16" s="1" t="s">
        <v>16</v>
      </c>
      <c r="C16" s="3">
        <f>(33.25+141.33+1038+171)*13.48/1000</f>
        <v>18.650658400000001</v>
      </c>
    </row>
    <row r="17" spans="1:3" x14ac:dyDescent="0.3">
      <c r="A17" s="2" t="s">
        <v>137</v>
      </c>
      <c r="B17" s="1" t="s">
        <v>17</v>
      </c>
      <c r="C17" s="3">
        <f>(33.25+141.33+1038+171+101+168+101)*13.48/1000</f>
        <v>23.638258399999998</v>
      </c>
    </row>
    <row r="18" spans="1:3" x14ac:dyDescent="0.3">
      <c r="A18" s="2" t="s">
        <v>138</v>
      </c>
      <c r="B18" s="1" t="s">
        <v>18</v>
      </c>
      <c r="C18" s="3">
        <f>(33.25+141.33+148+353+543+180)*13.48/1000</f>
        <v>18.852858400000002</v>
      </c>
    </row>
    <row r="19" spans="1:3" x14ac:dyDescent="0.3">
      <c r="A19" s="2" t="s">
        <v>139</v>
      </c>
      <c r="B19" s="1" t="s">
        <v>19</v>
      </c>
      <c r="C19" s="3">
        <f>(33.25+141.33+148+353+543+180+98+234+98)*13.48/1000</f>
        <v>24.649258399999997</v>
      </c>
    </row>
    <row r="20" spans="1:3" x14ac:dyDescent="0.3">
      <c r="A20" s="2" t="s">
        <v>140</v>
      </c>
      <c r="B20" s="1" t="s">
        <v>20</v>
      </c>
      <c r="C20" s="3">
        <f>(33.25+141.33+148+353+332+180)*13.48/1000</f>
        <v>16.008578400000001</v>
      </c>
    </row>
    <row r="21" spans="1:3" x14ac:dyDescent="0.3">
      <c r="A21" s="2" t="s">
        <v>141</v>
      </c>
      <c r="B21" s="1" t="s">
        <v>21</v>
      </c>
      <c r="C21" s="3">
        <f>(33.25+141.33+148+353+332+180+98+234+98)*13.48/1000</f>
        <v>21.8049784</v>
      </c>
    </row>
    <row r="22" spans="1:3" x14ac:dyDescent="0.3">
      <c r="A22" s="2" t="s">
        <v>142</v>
      </c>
      <c r="B22" s="1" t="s">
        <v>22</v>
      </c>
      <c r="C22" s="3">
        <f>(33.25+141.33+148+353+122+180)*13.48/1000</f>
        <v>13.177778400000001</v>
      </c>
    </row>
    <row r="23" spans="1:3" x14ac:dyDescent="0.3">
      <c r="A23" s="2" t="s">
        <v>143</v>
      </c>
      <c r="B23" s="1" t="s">
        <v>23</v>
      </c>
      <c r="C23" s="3">
        <f>(33.25+141.33+148+353+122+180+98+234+98)*13.48/1000</f>
        <v>18.9741784</v>
      </c>
    </row>
    <row r="24" spans="1:3" x14ac:dyDescent="0.3">
      <c r="A24" s="2" t="s">
        <v>144</v>
      </c>
      <c r="B24" s="1" t="s">
        <v>24</v>
      </c>
      <c r="C24" s="3">
        <f>(33.25+141.33+148+353+255+180)*13.48/1000</f>
        <v>14.970618399999999</v>
      </c>
    </row>
    <row r="25" spans="1:3" x14ac:dyDescent="0.3">
      <c r="A25" s="2" t="s">
        <v>145</v>
      </c>
      <c r="B25" s="1" t="s">
        <v>25</v>
      </c>
      <c r="C25" s="3">
        <f>(33.25+141.33+148+353+255+180+98+234+98)*13.48/1000</f>
        <v>20.767018400000001</v>
      </c>
    </row>
    <row r="26" spans="1:3" x14ac:dyDescent="0.3">
      <c r="A26" s="2" t="s">
        <v>146</v>
      </c>
      <c r="B26" s="1" t="s">
        <v>26</v>
      </c>
      <c r="C26" s="3">
        <f>(33.25+141.33+148+353+468+180)*13.48/1000</f>
        <v>17.8418584</v>
      </c>
    </row>
    <row r="27" spans="1:3" x14ac:dyDescent="0.3">
      <c r="A27" s="2" t="s">
        <v>147</v>
      </c>
      <c r="B27" s="1" t="s">
        <v>27</v>
      </c>
      <c r="C27" s="3">
        <f>(33.25+141.33+148+353+468+180+98+234+98)*13.48/1000</f>
        <v>23.638258399999998</v>
      </c>
    </row>
    <row r="28" spans="1:3" x14ac:dyDescent="0.3">
      <c r="A28" s="2" t="s">
        <v>148</v>
      </c>
      <c r="B28" s="1" t="s">
        <v>28</v>
      </c>
      <c r="C28" s="3">
        <f>(33.25+141.33+148+353+675+180)*13.48/1000</f>
        <v>20.632218399999999</v>
      </c>
    </row>
    <row r="29" spans="1:3" x14ac:dyDescent="0.3">
      <c r="A29" s="2" t="s">
        <v>149</v>
      </c>
      <c r="B29" s="1" t="s">
        <v>29</v>
      </c>
      <c r="C29" s="3">
        <f>(33.25+141.33+148+353+675+180+98+234+98)*13.48/1000</f>
        <v>26.428618399999998</v>
      </c>
    </row>
    <row r="30" spans="1:3" x14ac:dyDescent="0.3">
      <c r="A30" s="2" t="s">
        <v>150</v>
      </c>
      <c r="B30" s="1" t="s">
        <v>30</v>
      </c>
      <c r="C30" s="3">
        <f>(33.25+141.33+148+353+884+180)*13.48/1000</f>
        <v>23.449538400000002</v>
      </c>
    </row>
    <row r="31" spans="1:3" x14ac:dyDescent="0.3">
      <c r="A31" s="2" t="s">
        <v>151</v>
      </c>
      <c r="B31" s="7" t="s">
        <v>31</v>
      </c>
      <c r="C31" s="8">
        <f>(33.25+141.33+148+353+884+180+98+234+98)*13.48/1000</f>
        <v>29.2459384</v>
      </c>
    </row>
    <row r="32" spans="1:3" x14ac:dyDescent="0.3">
      <c r="A32" s="2" t="s">
        <v>181</v>
      </c>
      <c r="B32" s="1" t="s">
        <v>171</v>
      </c>
      <c r="C32" s="3">
        <f>(29.8+141.6+147.6+355+478.4+58+198)*13.48/1000</f>
        <v>18.985232000000003</v>
      </c>
    </row>
    <row r="33" spans="1:3" x14ac:dyDescent="0.3">
      <c r="A33" s="2" t="s">
        <v>182</v>
      </c>
      <c r="B33" s="1" t="s">
        <v>172</v>
      </c>
      <c r="C33" s="3">
        <f>(29.8+141.6+147.6+355+478.4+58+198+12+210.5+110.5+53.5)*13.48/1000</f>
        <v>24.195252</v>
      </c>
    </row>
    <row r="34" spans="1:3" x14ac:dyDescent="0.3">
      <c r="A34" s="2" t="s">
        <v>183</v>
      </c>
      <c r="B34" s="1" t="s">
        <v>173</v>
      </c>
      <c r="C34" s="3">
        <f>(29.8+141.6+282+62.9+53)*13.48/1000</f>
        <v>7.6741639999999993</v>
      </c>
    </row>
    <row r="35" spans="1:3" x14ac:dyDescent="0.3">
      <c r="A35" s="2" t="s">
        <v>177</v>
      </c>
      <c r="B35" s="1" t="s">
        <v>184</v>
      </c>
      <c r="C35" s="3">
        <f>(29.8+141.6+957.6+226.6+157.5)*13.48/1000</f>
        <v>20.396588000000001</v>
      </c>
    </row>
    <row r="36" spans="1:3" x14ac:dyDescent="0.3">
      <c r="A36" s="2" t="s">
        <v>185</v>
      </c>
      <c r="B36" s="7" t="s">
        <v>174</v>
      </c>
      <c r="C36" s="8">
        <f>(29.8+141.6+149.3+210+50.7)*13.48/1000</f>
        <v>7.8372720000000013</v>
      </c>
    </row>
    <row r="37" spans="1:3" x14ac:dyDescent="0.3">
      <c r="A37" s="2" t="s">
        <v>186</v>
      </c>
      <c r="B37" s="7" t="s">
        <v>175</v>
      </c>
      <c r="C37" s="3">
        <f>(29.8+141.6+149.3+355+470+180.15+66)*13.48/1000</f>
        <v>18.762138000000004</v>
      </c>
    </row>
    <row r="38" spans="1:3" x14ac:dyDescent="0.3">
      <c r="A38" s="2" t="s">
        <v>187</v>
      </c>
      <c r="B38" s="7" t="s">
        <v>176</v>
      </c>
      <c r="C38" s="3">
        <f>(29.8+141.6+957.6+226.6+68.6)*13.48/1000</f>
        <v>19.198215999999995</v>
      </c>
    </row>
    <row r="39" spans="1:3" x14ac:dyDescent="0.3">
      <c r="A39" s="2" t="s">
        <v>188</v>
      </c>
      <c r="B39" s="14" t="s">
        <v>178</v>
      </c>
      <c r="C39" s="15">
        <f>(33.25+141.33+415.2417+66.6+213.0434)*13.48/1000</f>
        <v>11.720389548000002</v>
      </c>
    </row>
    <row r="40" spans="1:3" x14ac:dyDescent="0.3">
      <c r="A40" s="2" t="s">
        <v>189</v>
      </c>
      <c r="B40" s="16" t="s">
        <v>179</v>
      </c>
      <c r="C40" s="17">
        <f>(33.25+141.33+1038+171)*13.48/1000</f>
        <v>18.650658400000001</v>
      </c>
    </row>
    <row r="41" spans="1:3" x14ac:dyDescent="0.3">
      <c r="A41" s="2" t="s">
        <v>190</v>
      </c>
      <c r="B41" s="14" t="s">
        <v>180</v>
      </c>
      <c r="C41" s="15">
        <f>(33.25+141.33+148+353+122+180)*13.48/1000</f>
        <v>13.177778400000001</v>
      </c>
    </row>
    <row r="42" spans="1:3" x14ac:dyDescent="0.3">
      <c r="A42" s="18" t="s">
        <v>165</v>
      </c>
      <c r="B42" s="18" t="s">
        <v>166</v>
      </c>
      <c r="C42" s="18">
        <f>(632.5+70+23.3)*13.48/1000</f>
        <v>9.7837839999999989</v>
      </c>
    </row>
    <row r="43" spans="1:3" x14ac:dyDescent="0.3">
      <c r="A43" s="19" t="s">
        <v>166</v>
      </c>
      <c r="B43" s="19" t="s">
        <v>167</v>
      </c>
      <c r="C43" s="19">
        <f>5+3+8</f>
        <v>16</v>
      </c>
    </row>
  </sheetData>
  <mergeCells count="3">
    <mergeCell ref="E1:F1"/>
    <mergeCell ref="E2:F2"/>
    <mergeCell ref="E3:F3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4D40-A758-4648-815F-65BC4B784B72}">
  <dimension ref="A1:G57"/>
  <sheetViews>
    <sheetView zoomScaleNormal="100" workbookViewId="0">
      <selection activeCell="G2" sqref="G2"/>
    </sheetView>
  </sheetViews>
  <sheetFormatPr baseColWidth="10" defaultRowHeight="14.4" x14ac:dyDescent="0.3"/>
  <cols>
    <col min="1" max="1" width="17.44140625" customWidth="1"/>
    <col min="2" max="3" width="13.77734375" customWidth="1"/>
  </cols>
  <sheetData>
    <row r="1" spans="1:7" x14ac:dyDescent="0.3">
      <c r="A1" s="9" t="s">
        <v>0</v>
      </c>
      <c r="B1" s="9" t="s">
        <v>1</v>
      </c>
      <c r="C1" s="9" t="s">
        <v>160</v>
      </c>
      <c r="E1" s="24" t="s">
        <v>161</v>
      </c>
      <c r="F1" s="24"/>
      <c r="G1" s="10">
        <f>SUM(Tabla1[CABLE (mts)])</f>
        <v>2058.6358</v>
      </c>
    </row>
    <row r="2" spans="1:7" x14ac:dyDescent="0.3">
      <c r="A2" s="9" t="s">
        <v>32</v>
      </c>
      <c r="B2" s="9" t="s">
        <v>77</v>
      </c>
      <c r="C2" s="9">
        <f>(19.7+24.81+15.13+7.7+15.5)*130/1000</f>
        <v>10.769200000000001</v>
      </c>
      <c r="E2" s="24" t="s">
        <v>162</v>
      </c>
      <c r="F2" s="24"/>
      <c r="G2" s="1">
        <f>46+3+20</f>
        <v>69</v>
      </c>
    </row>
    <row r="3" spans="1:7" x14ac:dyDescent="0.3">
      <c r="A3" s="9" t="s">
        <v>33</v>
      </c>
      <c r="B3" s="9" t="s">
        <v>78</v>
      </c>
      <c r="C3" s="9">
        <f>(19.7+24.81+15.13+15.5+15.3+38.7+15.3)*130/1000</f>
        <v>18.777200000000001</v>
      </c>
    </row>
    <row r="4" spans="1:7" x14ac:dyDescent="0.3">
      <c r="A4" s="9" t="s">
        <v>34</v>
      </c>
      <c r="B4" s="9" t="s">
        <v>79</v>
      </c>
      <c r="C4" s="9">
        <f>(19.7+24.8+19.5+7.7+15.7)*130/1000</f>
        <v>11.362</v>
      </c>
    </row>
    <row r="5" spans="1:7" x14ac:dyDescent="0.3">
      <c r="A5" s="9" t="s">
        <v>35</v>
      </c>
      <c r="B5" s="9" t="s">
        <v>80</v>
      </c>
      <c r="C5" s="9">
        <f>(19.7+24.8+19.5+7.7+15.7+16+29.6+16)*130/1000</f>
        <v>19.37</v>
      </c>
    </row>
    <row r="6" spans="1:7" x14ac:dyDescent="0.3">
      <c r="A6" s="9" t="s">
        <v>36</v>
      </c>
      <c r="B6" s="9" t="s">
        <v>81</v>
      </c>
      <c r="C6" s="9">
        <f>(19.7+24.8+52.2+8+16)*130/1000</f>
        <v>15.691000000000001</v>
      </c>
    </row>
    <row r="7" spans="1:7" x14ac:dyDescent="0.3">
      <c r="A7" s="9" t="s">
        <v>37</v>
      </c>
      <c r="B7" s="9" t="s">
        <v>82</v>
      </c>
      <c r="C7" s="9">
        <f>(19.7+24.8+52.2+8+16+14.6+29.6+14.6)*130/1000</f>
        <v>23.335000000000001</v>
      </c>
    </row>
    <row r="8" spans="1:7" x14ac:dyDescent="0.3">
      <c r="A8" s="9" t="s">
        <v>38</v>
      </c>
      <c r="B8" s="9" t="s">
        <v>83</v>
      </c>
      <c r="C8" s="9">
        <f>(19.7+24.8+84.3+8+16)*130/1000</f>
        <v>19.864000000000001</v>
      </c>
    </row>
    <row r="9" spans="1:7" x14ac:dyDescent="0.3">
      <c r="A9" s="9" t="s">
        <v>39</v>
      </c>
      <c r="B9" s="9" t="s">
        <v>84</v>
      </c>
      <c r="C9" s="9">
        <f>(19.7+24.8+84.3+8+16+14.6+29.6+14.6)*130/1000</f>
        <v>27.507999999999999</v>
      </c>
    </row>
    <row r="10" spans="1:7" x14ac:dyDescent="0.3">
      <c r="A10" s="9" t="s">
        <v>40</v>
      </c>
      <c r="B10" s="9" t="s">
        <v>85</v>
      </c>
      <c r="C10" s="9">
        <f>(19.7+24.8+117+7+16)*130/1000</f>
        <v>23.984999999999999</v>
      </c>
    </row>
    <row r="11" spans="1:7" x14ac:dyDescent="0.3">
      <c r="A11" s="9" t="s">
        <v>41</v>
      </c>
      <c r="B11" s="9" t="s">
        <v>86</v>
      </c>
      <c r="C11" s="9">
        <f>(19.7+24.8+117+7+16+14.6+29.6+14.6)*130/1000</f>
        <v>31.628999999999998</v>
      </c>
    </row>
    <row r="12" spans="1:7" x14ac:dyDescent="0.3">
      <c r="A12" s="9" t="s">
        <v>42</v>
      </c>
      <c r="B12" s="9" t="s">
        <v>87</v>
      </c>
      <c r="C12" s="9">
        <f>(19.7+24.8+149+7+16)*130/1000</f>
        <v>28.145</v>
      </c>
    </row>
    <row r="13" spans="1:7" x14ac:dyDescent="0.3">
      <c r="A13" s="9" t="s">
        <v>43</v>
      </c>
      <c r="B13" s="9" t="s">
        <v>88</v>
      </c>
      <c r="C13" s="9">
        <f>(19.7+24.8+149+7+16+14.6+29.6+14.6)*130/1000</f>
        <v>35.789000000000001</v>
      </c>
    </row>
    <row r="14" spans="1:7" x14ac:dyDescent="0.3">
      <c r="A14" s="9" t="s">
        <v>44</v>
      </c>
      <c r="B14" s="9" t="s">
        <v>89</v>
      </c>
      <c r="C14" s="9">
        <f>(19.7+24.8+181.3+7+16)*130/1000</f>
        <v>32.344000000000001</v>
      </c>
    </row>
    <row r="15" spans="1:7" x14ac:dyDescent="0.3">
      <c r="A15" s="9" t="s">
        <v>45</v>
      </c>
      <c r="B15" s="9" t="s">
        <v>90</v>
      </c>
      <c r="C15" s="9">
        <f>(19.7+24.8+181.3+7+16+14.6+29.6+14.6)*130/1000</f>
        <v>39.988000000000007</v>
      </c>
    </row>
    <row r="16" spans="1:7" x14ac:dyDescent="0.3">
      <c r="A16" s="9" t="s">
        <v>46</v>
      </c>
      <c r="B16" s="9" t="s">
        <v>91</v>
      </c>
      <c r="C16" s="9">
        <f>(19.7+24.8+214+7+16)*130/1000</f>
        <v>36.594999999999999</v>
      </c>
    </row>
    <row r="17" spans="1:3" x14ac:dyDescent="0.3">
      <c r="A17" s="9" t="s">
        <v>47</v>
      </c>
      <c r="B17" s="9" t="s">
        <v>92</v>
      </c>
      <c r="C17" s="9">
        <f>(19.7+24.8+214+7+16+14.6+29.6+14.6)*130/1000</f>
        <v>44.239000000000004</v>
      </c>
    </row>
    <row r="18" spans="1:3" x14ac:dyDescent="0.3">
      <c r="A18" s="9" t="s">
        <v>48</v>
      </c>
      <c r="B18" s="9" t="s">
        <v>93</v>
      </c>
      <c r="C18" s="9">
        <f>(19.7+24.8+253+7+16)*130/1000</f>
        <v>41.664999999999999</v>
      </c>
    </row>
    <row r="19" spans="1:3" x14ac:dyDescent="0.3">
      <c r="A19" s="9" t="s">
        <v>49</v>
      </c>
      <c r="B19" s="9" t="s">
        <v>94</v>
      </c>
      <c r="C19" s="9">
        <f>(19.7+24.8+253+7+16+14.6+36+14.6)*130/1000</f>
        <v>50.141000000000005</v>
      </c>
    </row>
    <row r="20" spans="1:3" x14ac:dyDescent="0.3">
      <c r="A20" s="9" t="s">
        <v>50</v>
      </c>
      <c r="B20" s="9" t="s">
        <v>95</v>
      </c>
      <c r="C20" s="9">
        <f>(19.7+24.8+256+7+16)*130/1000</f>
        <v>42.055</v>
      </c>
    </row>
    <row r="21" spans="1:3" x14ac:dyDescent="0.3">
      <c r="A21" s="9" t="s">
        <v>51</v>
      </c>
      <c r="B21" s="9" t="s">
        <v>96</v>
      </c>
      <c r="C21" s="9">
        <f>(19.7+24.8+256+7+16+14.6+45+14.6)*130/1000</f>
        <v>51.701000000000008</v>
      </c>
    </row>
    <row r="22" spans="1:3" x14ac:dyDescent="0.3">
      <c r="A22" s="9" t="s">
        <v>52</v>
      </c>
      <c r="B22" s="9" t="s">
        <v>97</v>
      </c>
      <c r="C22" s="9">
        <f>(19.7+24.8+257.5+25.9+8)*130/1000</f>
        <v>43.667000000000002</v>
      </c>
    </row>
    <row r="23" spans="1:3" x14ac:dyDescent="0.3">
      <c r="A23" s="9" t="s">
        <v>53</v>
      </c>
      <c r="B23" s="9" t="s">
        <v>98</v>
      </c>
      <c r="C23" s="9">
        <f>(19.7+24.8+257.5+25.9+8+12.8+34.5+12.8)*130/1000</f>
        <v>51.48</v>
      </c>
    </row>
    <row r="24" spans="1:3" x14ac:dyDescent="0.3">
      <c r="A24" s="9" t="s">
        <v>54</v>
      </c>
      <c r="B24" s="9" t="s">
        <v>99</v>
      </c>
      <c r="C24" s="9">
        <f>(19.7+24.8+257.5+58.7+8)*130/1000</f>
        <v>47.930999999999997</v>
      </c>
    </row>
    <row r="25" spans="1:3" x14ac:dyDescent="0.3">
      <c r="A25" s="9" t="s">
        <v>55</v>
      </c>
      <c r="B25" s="9" t="s">
        <v>100</v>
      </c>
      <c r="C25" s="9">
        <f>(19.7+24.8+257.5+58.7+8+12.8+34.5+12.8)*130/1000</f>
        <v>55.744</v>
      </c>
    </row>
    <row r="26" spans="1:3" x14ac:dyDescent="0.3">
      <c r="A26" s="9" t="s">
        <v>56</v>
      </c>
      <c r="B26" s="9" t="s">
        <v>101</v>
      </c>
      <c r="C26" s="9">
        <f>(19.7+24.8+257.5+79.3+8+15)*130/1000</f>
        <v>52.558999999999997</v>
      </c>
    </row>
    <row r="27" spans="1:3" x14ac:dyDescent="0.3">
      <c r="A27" s="9" t="s">
        <v>57</v>
      </c>
      <c r="B27" s="9" t="s">
        <v>102</v>
      </c>
      <c r="C27" s="9">
        <f>(19.7+24.8+257.5+79.3+8+15+17.2+34.5+17.2)*130/1000</f>
        <v>61.515999999999998</v>
      </c>
    </row>
    <row r="28" spans="1:3" x14ac:dyDescent="0.3">
      <c r="A28" s="9" t="s">
        <v>58</v>
      </c>
      <c r="B28" s="9" t="s">
        <v>103</v>
      </c>
      <c r="C28" s="9">
        <f>(19.7+24.8+257.5+79.3+6+6.3+14.1)*130/1000</f>
        <v>53.001000000000005</v>
      </c>
    </row>
    <row r="29" spans="1:3" x14ac:dyDescent="0.3">
      <c r="A29" s="9" t="s">
        <v>59</v>
      </c>
      <c r="B29" s="9" t="s">
        <v>104</v>
      </c>
      <c r="C29" s="9">
        <f>(19.7+24.8+257.5+79.3+6+6.3+14.1+11.3+35.3+11.3)*130/1000</f>
        <v>60.528000000000006</v>
      </c>
    </row>
    <row r="30" spans="1:3" x14ac:dyDescent="0.3">
      <c r="A30" s="9" t="s">
        <v>60</v>
      </c>
      <c r="B30" s="9" t="s">
        <v>105</v>
      </c>
      <c r="C30" s="9">
        <f>(19.7+24.8+15.1+78.9+233.5+6.8+6+14)*130/1000</f>
        <v>51.844000000000001</v>
      </c>
    </row>
    <row r="31" spans="1:3" x14ac:dyDescent="0.3">
      <c r="A31" s="9" t="s">
        <v>61</v>
      </c>
      <c r="B31" s="9" t="s">
        <v>106</v>
      </c>
      <c r="C31" s="9">
        <f>(19.7+24.8+15.1+78.9+233.5+6.8+6+14+11.3+35+11.3)*130/1000</f>
        <v>59.332000000000008</v>
      </c>
    </row>
    <row r="32" spans="1:3" x14ac:dyDescent="0.3">
      <c r="A32" s="9" t="s">
        <v>62</v>
      </c>
      <c r="B32" s="9" t="s">
        <v>107</v>
      </c>
      <c r="C32" s="9">
        <f>(19.7+24.8+15.1+78.9+195.6+6.8+6+14)*130/1000</f>
        <v>46.917000000000009</v>
      </c>
    </row>
    <row r="33" spans="1:3" x14ac:dyDescent="0.3">
      <c r="A33" s="9" t="s">
        <v>63</v>
      </c>
      <c r="B33" s="9" t="s">
        <v>108</v>
      </c>
      <c r="C33" s="9">
        <f>(19.7+24.8+15.1+78.9+195.6+6.8+6.3+14+11.3+35+11.3)*130/1000</f>
        <v>54.44400000000001</v>
      </c>
    </row>
    <row r="34" spans="1:3" x14ac:dyDescent="0.3">
      <c r="A34" s="9" t="s">
        <v>64</v>
      </c>
      <c r="B34" s="9" t="s">
        <v>109</v>
      </c>
      <c r="C34" s="9">
        <f>(19.7+24.8+15.1+78.9+157.6+6.8+6+14)*130/1000</f>
        <v>41.977000000000004</v>
      </c>
    </row>
    <row r="35" spans="1:3" x14ac:dyDescent="0.3">
      <c r="A35" s="9" t="s">
        <v>65</v>
      </c>
      <c r="B35" s="9" t="s">
        <v>110</v>
      </c>
      <c r="C35" s="9">
        <f>(19.7+24.8+15.1+78.9+157.6+6.8+6.3+14+11.3+35+11.3)*130/1000</f>
        <v>49.504000000000005</v>
      </c>
    </row>
    <row r="36" spans="1:3" x14ac:dyDescent="0.3">
      <c r="A36" s="9" t="s">
        <v>66</v>
      </c>
      <c r="B36" s="9" t="s">
        <v>111</v>
      </c>
      <c r="C36" s="9">
        <f>(19.7+24.8+15.1+78.9+98.2+6.8+6+14)*130/1000</f>
        <v>34.255000000000003</v>
      </c>
    </row>
    <row r="37" spans="1:3" x14ac:dyDescent="0.3">
      <c r="A37" s="9" t="s">
        <v>67</v>
      </c>
      <c r="B37" s="9" t="s">
        <v>112</v>
      </c>
      <c r="C37" s="9">
        <f>(19.7+24.8+15.1+78.9+98.2+6.8+6.3+14+11.3+35+11.3)*130/1000</f>
        <v>41.782000000000011</v>
      </c>
    </row>
    <row r="38" spans="1:3" x14ac:dyDescent="0.3">
      <c r="A38" s="9" t="s">
        <v>68</v>
      </c>
      <c r="B38" s="9" t="s">
        <v>113</v>
      </c>
      <c r="C38" s="9">
        <f>(19.7+24.8+15.1+78.9+60.5+6.8+6+14)*130/1000</f>
        <v>29.353999999999999</v>
      </c>
    </row>
    <row r="39" spans="1:3" x14ac:dyDescent="0.3">
      <c r="A39" s="9" t="s">
        <v>69</v>
      </c>
      <c r="B39" s="9" t="s">
        <v>114</v>
      </c>
      <c r="C39" s="9">
        <f>(19.7+24.8+15.1+78.9+60.5+6.8+6.3+14+11.3+35+11.3)*130/1000</f>
        <v>36.881000000000007</v>
      </c>
    </row>
    <row r="40" spans="1:3" x14ac:dyDescent="0.3">
      <c r="A40" s="9" t="s">
        <v>70</v>
      </c>
      <c r="B40" s="9" t="s">
        <v>115</v>
      </c>
      <c r="C40" s="9">
        <f>(19.7+24.8+15.1+78.9+22.6+6.8+6+14)*130/1000</f>
        <v>24.427</v>
      </c>
    </row>
    <row r="41" spans="1:3" x14ac:dyDescent="0.3">
      <c r="A41" s="9" t="s">
        <v>71</v>
      </c>
      <c r="B41" s="9" t="s">
        <v>116</v>
      </c>
      <c r="C41" s="9">
        <f>(19.7+24.8+15.1+78.9+22.6+6.8+6.3+14+11.3+35+11.3)*130/1000</f>
        <v>31.954000000000004</v>
      </c>
    </row>
    <row r="42" spans="1:3" x14ac:dyDescent="0.3">
      <c r="A42" s="9" t="s">
        <v>72</v>
      </c>
      <c r="B42" s="9" t="s">
        <v>117</v>
      </c>
      <c r="C42" s="9">
        <f>(19.7+24.8+15.1+73.7+7.4+30+26.3+30)*130/1000</f>
        <v>29.510000000000005</v>
      </c>
    </row>
    <row r="43" spans="1:3" x14ac:dyDescent="0.3">
      <c r="A43" s="9" t="s">
        <v>73</v>
      </c>
      <c r="B43" s="9" t="s">
        <v>118</v>
      </c>
      <c r="C43" s="9">
        <f>(19.7+24.8+15.1+73.7+7.4+30+26.3+30+11.2+29.9+11.2)*130/1000</f>
        <v>36.308999999999997</v>
      </c>
    </row>
    <row r="44" spans="1:3" x14ac:dyDescent="0.3">
      <c r="A44" s="9" t="s">
        <v>74</v>
      </c>
      <c r="B44" s="9" t="s">
        <v>119</v>
      </c>
      <c r="C44" s="9">
        <f>(19.7+24.8+15.1+56.5+8)*130/1000</f>
        <v>16.132999999999999</v>
      </c>
    </row>
    <row r="45" spans="1:3" x14ac:dyDescent="0.3">
      <c r="A45" s="9" t="s">
        <v>75</v>
      </c>
      <c r="B45" s="9" t="s">
        <v>120</v>
      </c>
      <c r="C45" s="9">
        <f>(19.7+24.8+15.1+56.5+8+14+29.3+14)*130/1000</f>
        <v>23.582000000000001</v>
      </c>
    </row>
    <row r="46" spans="1:3" x14ac:dyDescent="0.3">
      <c r="A46" s="9" t="s">
        <v>76</v>
      </c>
      <c r="B46" s="9" t="s">
        <v>191</v>
      </c>
      <c r="C46" s="9">
        <v>10.769200000000001</v>
      </c>
    </row>
    <row r="47" spans="1:3" x14ac:dyDescent="0.3">
      <c r="A47" s="9" t="s">
        <v>153</v>
      </c>
      <c r="B47" s="9" t="s">
        <v>192</v>
      </c>
      <c r="C47" s="9">
        <v>18.777200000000001</v>
      </c>
    </row>
    <row r="48" spans="1:3" x14ac:dyDescent="0.3">
      <c r="A48" s="9" t="s">
        <v>202</v>
      </c>
      <c r="B48" s="9" t="s">
        <v>157</v>
      </c>
      <c r="C48" s="9">
        <f>(19.7+24.8+15.1+78.8+63.3+37.8+14.2)*130/1000</f>
        <v>32.981000000000002</v>
      </c>
    </row>
    <row r="49" spans="1:3" x14ac:dyDescent="0.3">
      <c r="A49" s="9" t="s">
        <v>203</v>
      </c>
      <c r="B49" s="9" t="s">
        <v>158</v>
      </c>
      <c r="C49" s="9">
        <f>(19.7+24.8+15.2+78.8+123.4+15+7)*130/1000</f>
        <v>36.906999999999996</v>
      </c>
    </row>
    <row r="50" spans="1:3" x14ac:dyDescent="0.3">
      <c r="A50" s="9" t="s">
        <v>204</v>
      </c>
      <c r="B50" s="9" t="s">
        <v>159</v>
      </c>
      <c r="C50" s="9">
        <f>(19.7+24.8+257.2+47.5+16+6.9)*130/1000</f>
        <v>48.37299999999999</v>
      </c>
    </row>
    <row r="51" spans="1:3" x14ac:dyDescent="0.3">
      <c r="A51" s="9" t="s">
        <v>195</v>
      </c>
      <c r="B51" s="9" t="s">
        <v>121</v>
      </c>
      <c r="C51" s="9">
        <f>(19.7+24.8+15.2+78.8+46.6+8+23)*130/1000</f>
        <v>28.093</v>
      </c>
    </row>
    <row r="52" spans="1:3" x14ac:dyDescent="0.3">
      <c r="A52" s="9" t="s">
        <v>196</v>
      </c>
      <c r="B52" s="9" t="s">
        <v>152</v>
      </c>
      <c r="C52" s="9">
        <f>(19.7+24.8+15.2+78.8+46.6+8+23+17.2+38.4+17.2)*130/1000</f>
        <v>37.557000000000002</v>
      </c>
    </row>
    <row r="53" spans="1:3" x14ac:dyDescent="0.3">
      <c r="A53" s="9" t="s">
        <v>197</v>
      </c>
      <c r="B53" s="9" t="s">
        <v>154</v>
      </c>
      <c r="C53" s="9">
        <f>(19.7+24.8+15.2+78.8+105.9+29)*130/1000</f>
        <v>35.542000000000002</v>
      </c>
    </row>
    <row r="54" spans="1:3" x14ac:dyDescent="0.3">
      <c r="A54" s="9" t="s">
        <v>198</v>
      </c>
      <c r="B54" s="9" t="s">
        <v>155</v>
      </c>
      <c r="C54" s="9">
        <f>(19.7+24.8+15.2+78.8+105.9+29+31.7+34.2)*130/1000</f>
        <v>44.108999999999995</v>
      </c>
    </row>
    <row r="55" spans="1:3" x14ac:dyDescent="0.3">
      <c r="A55" s="9" t="s">
        <v>199</v>
      </c>
      <c r="B55" s="9" t="s">
        <v>156</v>
      </c>
      <c r="C55" s="9">
        <f>(19.7+24.8+15.2+78.8+105.9+29+31.7+34.2+18.9+32)*130/1000</f>
        <v>50.725999999999992</v>
      </c>
    </row>
    <row r="56" spans="1:3" x14ac:dyDescent="0.3">
      <c r="A56" s="9" t="s">
        <v>200</v>
      </c>
      <c r="B56" s="9" t="s">
        <v>193</v>
      </c>
      <c r="C56" s="9">
        <f>(19.7+24.8+201.5+23.5+5)*130/1000</f>
        <v>35.685000000000002</v>
      </c>
    </row>
    <row r="57" spans="1:3" x14ac:dyDescent="0.3">
      <c r="A57" s="9" t="s">
        <v>201</v>
      </c>
      <c r="B57" s="9" t="s">
        <v>194</v>
      </c>
      <c r="C57" s="9">
        <f>(19.7+24.8+201.5+53.1+5)*130/1000</f>
        <v>39.533000000000001</v>
      </c>
    </row>
  </sheetData>
  <mergeCells count="2">
    <mergeCell ref="E1:F1"/>
    <mergeCell ref="E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5616-3243-4431-8F66-7B9907BF515A}">
  <dimension ref="B2:G6"/>
  <sheetViews>
    <sheetView workbookViewId="0">
      <selection activeCell="B3" sqref="B3:E6"/>
    </sheetView>
  </sheetViews>
  <sheetFormatPr baseColWidth="10" defaultRowHeight="14.4" x14ac:dyDescent="0.3"/>
  <cols>
    <col min="2" max="2" width="31.5546875" customWidth="1"/>
    <col min="3" max="3" width="12.77734375" customWidth="1"/>
    <col min="5" max="5" width="12.5546875" customWidth="1"/>
  </cols>
  <sheetData>
    <row r="2" spans="2:7" ht="15" thickBot="1" x14ac:dyDescent="0.35"/>
    <row r="3" spans="2:7" ht="29.4" thickBot="1" x14ac:dyDescent="0.35">
      <c r="B3" s="26" t="s">
        <v>205</v>
      </c>
      <c r="C3" s="26" t="s">
        <v>209</v>
      </c>
      <c r="D3" s="27" t="s">
        <v>210</v>
      </c>
      <c r="E3" s="28" t="s">
        <v>161</v>
      </c>
      <c r="F3" s="20"/>
      <c r="G3" s="20"/>
    </row>
    <row r="4" spans="2:7" ht="15" thickBot="1" x14ac:dyDescent="0.35">
      <c r="B4" s="29" t="s">
        <v>206</v>
      </c>
      <c r="C4" s="30">
        <v>0.5</v>
      </c>
      <c r="D4" s="31">
        <v>119</v>
      </c>
      <c r="E4" s="32">
        <f>C4*D4</f>
        <v>59.5</v>
      </c>
      <c r="F4" s="21"/>
      <c r="G4" s="22"/>
    </row>
    <row r="5" spans="2:7" ht="15" thickBot="1" x14ac:dyDescent="0.35">
      <c r="B5" s="29" t="s">
        <v>207</v>
      </c>
      <c r="C5" s="30">
        <v>3</v>
      </c>
      <c r="D5" s="31">
        <v>119</v>
      </c>
      <c r="E5" s="32">
        <f>C5*D5</f>
        <v>357</v>
      </c>
      <c r="F5" s="21"/>
      <c r="G5" s="22"/>
    </row>
    <row r="6" spans="2:7" ht="15" thickBot="1" x14ac:dyDescent="0.35">
      <c r="B6" s="29" t="s">
        <v>208</v>
      </c>
      <c r="C6" s="30"/>
      <c r="D6" s="33">
        <f>D4+D5</f>
        <v>238</v>
      </c>
      <c r="E6" s="34">
        <f>E4+E5</f>
        <v>416.5</v>
      </c>
      <c r="F6" s="23"/>
      <c r="G6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E41D-5C11-4CC6-A4E7-5C4018DD16EB}">
  <dimension ref="B1:H5"/>
  <sheetViews>
    <sheetView workbookViewId="0">
      <selection activeCell="F2" sqref="F2:H3"/>
    </sheetView>
  </sheetViews>
  <sheetFormatPr baseColWidth="10" defaultRowHeight="14.4" x14ac:dyDescent="0.3"/>
  <sheetData>
    <row r="1" spans="2:8" ht="15" thickBot="1" x14ac:dyDescent="0.35"/>
    <row r="2" spans="2:8" ht="15" thickBot="1" x14ac:dyDescent="0.35">
      <c r="B2" s="35" t="s">
        <v>168</v>
      </c>
      <c r="C2" s="36"/>
      <c r="F2" s="35" t="s">
        <v>170</v>
      </c>
      <c r="G2" s="36"/>
    </row>
    <row r="3" spans="2:8" ht="15" thickBot="1" x14ac:dyDescent="0.35">
      <c r="B3" s="37" t="s">
        <v>163</v>
      </c>
      <c r="C3" s="38"/>
      <c r="D3" s="12">
        <f>SUM('P1'!G1,'P2'!G1,Latiguillos!E6)</f>
        <v>3168.1163423079997</v>
      </c>
      <c r="F3" s="39" t="s">
        <v>163</v>
      </c>
      <c r="G3" s="40"/>
      <c r="H3" s="11">
        <f>SUM('P1'!G3)</f>
        <v>25.783783999999997</v>
      </c>
    </row>
    <row r="4" spans="2:8" ht="15" thickBot="1" x14ac:dyDescent="0.35">
      <c r="B4" s="37" t="s">
        <v>169</v>
      </c>
      <c r="C4" s="38"/>
      <c r="D4" s="12">
        <f>SUM('P1'!G2,'P2'!G2,Latiguillos!D6)</f>
        <v>357</v>
      </c>
    </row>
    <row r="5" spans="2:8" ht="15" thickBot="1" x14ac:dyDescent="0.35">
      <c r="B5" s="35" t="s">
        <v>164</v>
      </c>
      <c r="C5" s="36"/>
      <c r="D5" s="13">
        <f>D4*2</f>
        <v>714</v>
      </c>
    </row>
  </sheetData>
  <mergeCells count="6">
    <mergeCell ref="B4:C4"/>
    <mergeCell ref="B5:C5"/>
    <mergeCell ref="B3:C3"/>
    <mergeCell ref="B2:C2"/>
    <mergeCell ref="F2:G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Latiguillos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Andres Mora Suarez</dc:creator>
  <cp:lastModifiedBy>Pablo Andres Mora Suarez</cp:lastModifiedBy>
  <dcterms:created xsi:type="dcterms:W3CDTF">2026-01-03T11:11:47Z</dcterms:created>
  <dcterms:modified xsi:type="dcterms:W3CDTF">2026-01-16T02:50:19Z</dcterms:modified>
</cp:coreProperties>
</file>
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SIR\PAR\PARP301-SCE\Presupuesto\"/>
    </mc:Choice>
  </mc:AlternateContent>
  <xr:revisionPtr revIDLastSave="0" documentId="13_ncr:1_{E9E50D18-6874-4304-8BA3-5E6DA78247AA}" xr6:coauthVersionLast="47" xr6:coauthVersionMax="47" xr10:uidLastSave="{00000000-0000-0000-0000-000000000000}"/>
  <bookViews>
    <workbookView xWindow="5772" yWindow="372" windowWidth="11712" windowHeight="12336" xr2:uid="{60B4EDA1-7BB2-42E5-A570-0CD4D2C8B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F18" i="1"/>
  <c r="D18" i="1"/>
  <c r="K5" i="1" a="1"/>
  <c r="K5" i="1" s="1"/>
  <c r="J5" i="1" a="1"/>
  <c r="J5" i="1" s="1"/>
  <c r="L16" i="1" l="1"/>
  <c r="L21" i="1"/>
  <c r="L23" i="1" l="1"/>
  <c r="K18" i="1" l="1"/>
  <c r="J21" i="1"/>
  <c r="M20" i="1"/>
  <c r="K19" i="1"/>
  <c r="M19" i="1" s="1"/>
  <c r="K15" i="1"/>
  <c r="M15" i="1" s="1"/>
  <c r="J16" i="1"/>
  <c r="D16" i="1"/>
  <c r="D10" i="1"/>
  <c r="D19" i="1" l="1"/>
  <c r="K21" i="1"/>
  <c r="K8" i="1"/>
  <c r="J23" i="1"/>
  <c r="M18" i="1" l="1"/>
  <c r="M21" i="1" s="1"/>
  <c r="J8" i="1"/>
  <c r="J9" i="1" s="1"/>
  <c r="K14" i="1"/>
  <c r="K16" i="1" l="1"/>
  <c r="K23" i="1" s="1"/>
  <c r="M14" i="1"/>
  <c r="M16" i="1" s="1"/>
  <c r="M23" i="1" s="1"/>
  <c r="L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<sst xmlns="http://schemas.openxmlformats.org/spreadsheetml/2006/main" count="44" uniqueCount="32">
  <si>
    <t>Planta 1</t>
  </si>
  <si>
    <t>Planta 2</t>
  </si>
  <si>
    <t>Oficinas</t>
  </si>
  <si>
    <t>Recepción</t>
  </si>
  <si>
    <t>Sala de descanso</t>
  </si>
  <si>
    <t>Sala de Conferencias</t>
  </si>
  <si>
    <t>Rosetas</t>
  </si>
  <si>
    <t>simples</t>
  </si>
  <si>
    <t>dobles</t>
  </si>
  <si>
    <t>Librería</t>
  </si>
  <si>
    <t>Sala de Copiado</t>
  </si>
  <si>
    <t>Area de Coworking</t>
  </si>
  <si>
    <t>cuadruples</t>
  </si>
  <si>
    <t>Puertos</t>
  </si>
  <si>
    <t>Switch 1</t>
  </si>
  <si>
    <t>Switch 2 (PoE)</t>
  </si>
  <si>
    <t xml:space="preserve">Switch 1 </t>
  </si>
  <si>
    <t>Usados</t>
  </si>
  <si>
    <t>Libres</t>
  </si>
  <si>
    <t>Subtotal</t>
  </si>
  <si>
    <t>Total de Rosetas</t>
  </si>
  <si>
    <t>Subtotal de Rosetas</t>
  </si>
  <si>
    <t>Total</t>
  </si>
  <si>
    <t>Access Points (APs)</t>
  </si>
  <si>
    <t>Cámaras de Vigilancia</t>
  </si>
  <si>
    <t>Switch 3</t>
  </si>
  <si>
    <t>Físicos</t>
  </si>
  <si>
    <t>Activos</t>
  </si>
  <si>
    <t>Porcentaje (%) de escalabilidad</t>
  </si>
  <si>
    <t>Dispositivos</t>
  </si>
  <si>
    <t>Espacio</t>
  </si>
  <si>
    <t>Total por 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</si>
</sst>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/>
    <xf numFmtId="0" fontId="2" fillId="0" borderId="0" xfId="0" applyFont="1"/>
    <xf numFmtId="0" fontId="5" fillId="4" borderId="0" xfId="0" applyFont="1" applyFill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5C4F-6A8A-46E7-85C9-866FC31BF1A7}">
  <dimension ref="B1:M24"/>
  <sheetViews>
    <sheetView tabSelected="1" workbookViewId="0">
      <selection activeCell="K26" sqref="K26"/>
    </sheetView>
  </sheetViews>
  <sheetFormatPr baseColWidth="10" defaultRowHeight="14.4" x14ac:dyDescent="0.3"/>
  <cols>
    <col min="11" max="11" width="12.109375" bestFit="1" customWidth="1"/>
    <col min="12" max="12" width="12.109375" customWidth="1"/>
  </cols>
  <sheetData>
    <row r="1" spans="2:13" ht="35.4" customHeight="1" x14ac:dyDescent="0.3">
      <c r="B1" s="9" t="s">
        <v>6</v>
      </c>
      <c r="C1" s="9"/>
      <c r="D1" s="9"/>
      <c r="E1" s="9"/>
      <c r="F1" s="9"/>
      <c r="H1" s="9" t="s">
        <v>13</v>
      </c>
      <c r="I1" s="9"/>
      <c r="J1" s="9"/>
      <c r="K1" s="9"/>
      <c r="L1" s="9"/>
      <c r="M1" s="9"/>
    </row>
    <row r="3" spans="2:13" x14ac:dyDescent="0.3">
      <c r="B3" s="14" t="s">
        <v>30</v>
      </c>
      <c r="C3" s="14"/>
      <c r="D3" s="14" t="s">
        <v>7</v>
      </c>
      <c r="E3" s="14" t="s">
        <v>8</v>
      </c>
      <c r="F3" s="14" t="s">
        <v>12</v>
      </c>
      <c r="H3" s="14" t="s">
        <v>13</v>
      </c>
      <c r="I3" s="14"/>
      <c r="J3" s="14" t="s">
        <v>0</v>
      </c>
      <c r="K3" s="14" t="s">
        <v>1</v>
      </c>
      <c r="L3" s="5"/>
    </row>
    <row r="4" spans="2:13" x14ac:dyDescent="0.3">
      <c r="B4" s="14"/>
      <c r="C4" s="14"/>
      <c r="D4" s="22"/>
      <c r="E4" s="22"/>
      <c r="F4" s="22"/>
      <c r="H4" s="14"/>
      <c r="I4" s="14"/>
      <c r="J4" s="14"/>
      <c r="K4" s="14"/>
      <c r="L4" s="5"/>
    </row>
    <row r="5" spans="2:13" x14ac:dyDescent="0.3">
      <c r="B5" s="10" t="s">
        <v>0</v>
      </c>
      <c r="C5" s="11"/>
      <c r="D5" s="11"/>
      <c r="E5" s="11"/>
      <c r="F5" s="12"/>
      <c r="H5" s="33" t="s">
        <v>6</v>
      </c>
      <c r="I5" s="33"/>
      <c r="J5" s="3" cm="1">
        <f t="array" ref="J5">SUM(D6:D9,E6:E9*2,F6:F9*4)</f>
        <v>44</v>
      </c>
      <c r="K5" s="3" cm="1">
        <f t="array" ref="K5">SUM(D12:D15,E12:E15*2,F12:F15*4)</f>
        <v>66</v>
      </c>
      <c r="L5" s="5"/>
    </row>
    <row r="6" spans="2:13" x14ac:dyDescent="0.3">
      <c r="B6" s="20" t="s">
        <v>2</v>
      </c>
      <c r="C6" s="21"/>
      <c r="D6" s="3">
        <v>30</v>
      </c>
      <c r="E6" s="3"/>
      <c r="F6" s="3"/>
      <c r="H6" s="32" t="s">
        <v>23</v>
      </c>
      <c r="I6" s="32"/>
      <c r="J6" s="1">
        <v>3</v>
      </c>
      <c r="K6" s="1">
        <v>3</v>
      </c>
      <c r="L6" s="5"/>
    </row>
    <row r="7" spans="2:13" x14ac:dyDescent="0.3">
      <c r="B7" s="18" t="s">
        <v>3</v>
      </c>
      <c r="C7" s="19"/>
      <c r="D7" s="1"/>
      <c r="E7" s="1">
        <v>1</v>
      </c>
      <c r="F7" s="1">
        <v>1</v>
      </c>
      <c r="H7" s="32" t="s">
        <v>24</v>
      </c>
      <c r="I7" s="32"/>
      <c r="J7" s="1">
        <v>3</v>
      </c>
      <c r="K7" s="1"/>
      <c r="L7" s="5"/>
    </row>
    <row r="8" spans="2:13" x14ac:dyDescent="0.3">
      <c r="B8" s="18" t="s">
        <v>4</v>
      </c>
      <c r="C8" s="19"/>
      <c r="D8" s="1"/>
      <c r="E8" s="1"/>
      <c r="F8" s="1">
        <v>1</v>
      </c>
      <c r="H8" s="34" t="s">
        <v>19</v>
      </c>
      <c r="I8" s="34"/>
      <c r="J8" s="1">
        <f>SUM(J5:J7)</f>
        <v>50</v>
      </c>
      <c r="K8" s="1">
        <f>SUM(K5:K7)</f>
        <v>69</v>
      </c>
      <c r="L8" s="5"/>
    </row>
    <row r="9" spans="2:13" x14ac:dyDescent="0.3">
      <c r="B9" s="16" t="s">
        <v>5</v>
      </c>
      <c r="C9" s="17"/>
      <c r="D9" s="2"/>
      <c r="E9" s="2"/>
      <c r="F9" s="2">
        <v>1</v>
      </c>
      <c r="H9" s="34" t="s">
        <v>22</v>
      </c>
      <c r="I9" s="34"/>
      <c r="J9" s="32">
        <f>J8+K8</f>
        <v>119</v>
      </c>
      <c r="K9" s="32"/>
      <c r="L9" s="6"/>
    </row>
    <row r="10" spans="2:13" x14ac:dyDescent="0.3">
      <c r="B10" s="13" t="s">
        <v>21</v>
      </c>
      <c r="C10" s="13"/>
      <c r="D10" s="15">
        <f>SUM(D6:F9)</f>
        <v>34</v>
      </c>
      <c r="E10" s="15"/>
      <c r="F10" s="15"/>
      <c r="H10" s="7"/>
    </row>
    <row r="11" spans="2:13" x14ac:dyDescent="0.3">
      <c r="B11" s="10" t="s">
        <v>1</v>
      </c>
      <c r="C11" s="11"/>
      <c r="D11" s="11"/>
      <c r="E11" s="11"/>
      <c r="F11" s="12"/>
      <c r="H11" s="14" t="s">
        <v>29</v>
      </c>
      <c r="I11" s="14"/>
      <c r="J11" s="14" t="s">
        <v>26</v>
      </c>
      <c r="K11" s="14" t="s">
        <v>17</v>
      </c>
      <c r="L11" s="14" t="s">
        <v>27</v>
      </c>
      <c r="M11" s="14" t="s">
        <v>18</v>
      </c>
    </row>
    <row r="12" spans="2:13" x14ac:dyDescent="0.3">
      <c r="B12" s="23" t="s">
        <v>2</v>
      </c>
      <c r="C12" s="23"/>
      <c r="D12" s="3">
        <v>46</v>
      </c>
      <c r="E12" s="3"/>
      <c r="F12" s="3"/>
      <c r="H12" s="27"/>
      <c r="I12" s="27"/>
      <c r="J12" s="14"/>
      <c r="K12" s="14"/>
      <c r="L12" s="14"/>
      <c r="M12" s="14"/>
    </row>
    <row r="13" spans="2:13" x14ac:dyDescent="0.3">
      <c r="B13" s="24" t="s">
        <v>9</v>
      </c>
      <c r="C13" s="24"/>
      <c r="D13" s="1"/>
      <c r="E13" s="1">
        <v>1</v>
      </c>
      <c r="F13" s="1">
        <v>1</v>
      </c>
      <c r="H13" s="28" t="s">
        <v>0</v>
      </c>
      <c r="I13" s="28"/>
      <c r="J13" s="29"/>
      <c r="K13" s="29"/>
      <c r="L13" s="29"/>
      <c r="M13" s="29"/>
    </row>
    <row r="14" spans="2:13" x14ac:dyDescent="0.3">
      <c r="B14" s="24" t="s">
        <v>10</v>
      </c>
      <c r="C14" s="24"/>
      <c r="D14" s="1">
        <v>2</v>
      </c>
      <c r="E14" s="1"/>
      <c r="F14" s="1">
        <v>1</v>
      </c>
      <c r="H14" s="24" t="s">
        <v>14</v>
      </c>
      <c r="I14" s="24"/>
      <c r="J14" s="4">
        <v>48</v>
      </c>
      <c r="K14" s="4">
        <f>J5</f>
        <v>44</v>
      </c>
      <c r="L14" s="4">
        <v>16</v>
      </c>
      <c r="M14" s="4">
        <f>J14-K14</f>
        <v>4</v>
      </c>
    </row>
    <row r="15" spans="2:13" x14ac:dyDescent="0.3">
      <c r="B15" s="25" t="s">
        <v>11</v>
      </c>
      <c r="C15" s="25"/>
      <c r="D15" s="2"/>
      <c r="E15" s="2"/>
      <c r="F15" s="2">
        <v>2</v>
      </c>
      <c r="H15" s="24" t="s">
        <v>15</v>
      </c>
      <c r="I15" s="24"/>
      <c r="J15" s="4">
        <v>16</v>
      </c>
      <c r="K15" s="4">
        <f>J6+J7</f>
        <v>6</v>
      </c>
      <c r="L15" s="4">
        <v>6</v>
      </c>
      <c r="M15" s="4">
        <f>J15-K15</f>
        <v>10</v>
      </c>
    </row>
    <row r="16" spans="2:13" x14ac:dyDescent="0.3">
      <c r="B16" s="30" t="s">
        <v>21</v>
      </c>
      <c r="C16" s="30"/>
      <c r="D16" s="31">
        <f>SUM(D12:F15)</f>
        <v>53</v>
      </c>
      <c r="E16" s="31"/>
      <c r="F16" s="31"/>
      <c r="H16" s="26" t="s">
        <v>19</v>
      </c>
      <c r="I16" s="26"/>
      <c r="J16" s="1">
        <f>SUM(J14:J15)</f>
        <v>64</v>
      </c>
      <c r="K16" s="1">
        <f>SUM(K14:K15)</f>
        <v>50</v>
      </c>
      <c r="L16" s="1">
        <f>SUM(L14:L15)</f>
        <v>22</v>
      </c>
      <c r="M16" s="1">
        <f>SUM(M14:M15)</f>
        <v>14</v>
      </c>
    </row>
    <row r="17" spans="2:13" x14ac:dyDescent="0.3">
      <c r="B17" s="8"/>
      <c r="C17" s="8"/>
      <c r="H17" s="28" t="s">
        <v>1</v>
      </c>
      <c r="I17" s="28"/>
      <c r="J17" s="28"/>
      <c r="K17" s="28"/>
      <c r="L17" s="28"/>
      <c r="M17" s="28"/>
    </row>
    <row r="18" spans="2:13" x14ac:dyDescent="0.3">
      <c r="B18" s="34" t="s">
        <v>31</v>
      </c>
      <c r="C18" s="34"/>
      <c r="D18" s="1">
        <f>SUM(D6:D9,D12:D15)</f>
        <v>78</v>
      </c>
      <c r="E18" s="1">
        <f t="shared" ref="E18:F18" si="0">SUM(E6:E9,E12:E15)</f>
        <v>2</v>
      </c>
      <c r="F18" s="1">
        <f t="shared" si="0"/>
        <v>7</v>
      </c>
      <c r="H18" s="24" t="s">
        <v>16</v>
      </c>
      <c r="I18" s="24"/>
      <c r="J18" s="1">
        <v>48</v>
      </c>
      <c r="K18" s="1">
        <f>46</f>
        <v>46</v>
      </c>
      <c r="L18" s="1">
        <v>23</v>
      </c>
      <c r="M18" s="1">
        <f>J18-K18</f>
        <v>2</v>
      </c>
    </row>
    <row r="19" spans="2:13" x14ac:dyDescent="0.3">
      <c r="B19" s="40" t="s">
        <v>20</v>
      </c>
      <c r="C19" s="40"/>
      <c r="D19" s="41">
        <f>D10+D16</f>
        <v>87</v>
      </c>
      <c r="E19" s="41"/>
      <c r="F19" s="41"/>
      <c r="H19" s="24" t="s">
        <v>15</v>
      </c>
      <c r="I19" s="24"/>
      <c r="J19" s="1">
        <v>16</v>
      </c>
      <c r="K19" s="1">
        <f>K6</f>
        <v>3</v>
      </c>
      <c r="L19" s="1">
        <v>3</v>
      </c>
      <c r="M19" s="1">
        <f>J19-K19</f>
        <v>13</v>
      </c>
    </row>
    <row r="20" spans="2:13" x14ac:dyDescent="0.3">
      <c r="H20" s="24" t="s">
        <v>25</v>
      </c>
      <c r="I20" s="24"/>
      <c r="J20" s="1">
        <v>48</v>
      </c>
      <c r="K20" s="1">
        <v>20</v>
      </c>
      <c r="L20" s="1">
        <v>10</v>
      </c>
      <c r="M20" s="1">
        <f>J20-K20</f>
        <v>28</v>
      </c>
    </row>
    <row r="21" spans="2:13" x14ac:dyDescent="0.3">
      <c r="H21" s="26" t="s">
        <v>19</v>
      </c>
      <c r="I21" s="26"/>
      <c r="J21" s="1">
        <f>SUM(J18:J20)</f>
        <v>112</v>
      </c>
      <c r="K21" s="1">
        <f>SUM(K18:K20)</f>
        <v>69</v>
      </c>
      <c r="L21" s="1">
        <f>SUM(L18:L20)</f>
        <v>36</v>
      </c>
      <c r="M21" s="1">
        <f>SUM(M18:M20)</f>
        <v>43</v>
      </c>
    </row>
    <row r="23" spans="2:13" x14ac:dyDescent="0.3">
      <c r="H23" s="26" t="s">
        <v>22</v>
      </c>
      <c r="I23" s="26"/>
      <c r="J23" s="1">
        <f>SUM(J16,J21)</f>
        <v>176</v>
      </c>
      <c r="K23" s="1">
        <f>SUM(K16,K21)</f>
        <v>119</v>
      </c>
      <c r="L23" s="1">
        <f>SUM(L16,L21)</f>
        <v>58</v>
      </c>
      <c r="M23" s="1">
        <f>SUM(M16,M21)</f>
        <v>57</v>
      </c>
    </row>
    <row r="24" spans="2:13" x14ac:dyDescent="0.3">
      <c r="H24" s="35" t="s">
        <v>28</v>
      </c>
      <c r="I24" s="36"/>
      <c r="J24" s="36"/>
      <c r="K24" s="37"/>
      <c r="L24" s="38">
        <f>M23/(L23+M23)*100</f>
        <v>49.565217391304351</v>
      </c>
      <c r="M24" s="39"/>
    </row>
  </sheetData>
  <mergeCells count="49">
    <mergeCell ref="H24:K24"/>
    <mergeCell ref="L24:M24"/>
    <mergeCell ref="B18:C18"/>
    <mergeCell ref="H21:I21"/>
    <mergeCell ref="H23:I23"/>
    <mergeCell ref="H18:I18"/>
    <mergeCell ref="H19:I19"/>
    <mergeCell ref="H17:M17"/>
    <mergeCell ref="B16:C16"/>
    <mergeCell ref="B19:C19"/>
    <mergeCell ref="D19:F19"/>
    <mergeCell ref="D16:F16"/>
    <mergeCell ref="J3:J4"/>
    <mergeCell ref="J9:K9"/>
    <mergeCell ref="H3:I4"/>
    <mergeCell ref="H5:I5"/>
    <mergeCell ref="H6:I6"/>
    <mergeCell ref="H7:I7"/>
    <mergeCell ref="H8:I8"/>
    <mergeCell ref="H9:I9"/>
    <mergeCell ref="H20:I20"/>
    <mergeCell ref="M11:M12"/>
    <mergeCell ref="H16:I16"/>
    <mergeCell ref="H11:I12"/>
    <mergeCell ref="J11:J12"/>
    <mergeCell ref="H14:I14"/>
    <mergeCell ref="H15:I15"/>
    <mergeCell ref="L11:L12"/>
    <mergeCell ref="H13:M13"/>
    <mergeCell ref="B12:C12"/>
    <mergeCell ref="B13:C13"/>
    <mergeCell ref="B14:C14"/>
    <mergeCell ref="B15:C15"/>
    <mergeCell ref="K11:K12"/>
    <mergeCell ref="B1:F1"/>
    <mergeCell ref="H1:M1"/>
    <mergeCell ref="B5:F5"/>
    <mergeCell ref="B11:F11"/>
    <mergeCell ref="B10:C10"/>
    <mergeCell ref="B3:C4"/>
    <mergeCell ref="D10:F10"/>
    <mergeCell ref="B9:C9"/>
    <mergeCell ref="B8:C8"/>
    <mergeCell ref="B7:C7"/>
    <mergeCell ref="B6:C6"/>
    <mergeCell ref="F3:F4"/>
    <mergeCell ref="E3:E4"/>
    <mergeCell ref="D3:D4"/>
    <mergeCell ref="K3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Andres Mora Suarez</dc:creator>
  <cp:lastModifiedBy>Pablo Andres Mora Suarez</cp:lastModifiedBy>
  <dcterms:created xsi:type="dcterms:W3CDTF">2026-01-05T18:48:03Z</dcterms:created>
  <dcterms:modified xsi:type="dcterms:W3CDTF">2026-01-16T02:02:45Z</dcterms:modified>
</cp:coreProperties>
</file>